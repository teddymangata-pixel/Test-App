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gramme de vols" sheetId="1" state="visible" r:id="rId3"/>
  </sheets>
  <definedNames>
    <definedName function="false" hidden="false" localSheetId="0" name="_xlnm.Print_Area" vbProcedure="false">'Programme de vols'!$B$1:$M$39</definedName>
    <definedName function="false" hidden="true" localSheetId="0" name="_xlnm._FilterDatabase" vbProcedure="false">'Programme de vols'!$B$45:$L$125</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46" authorId="0">
      <text>
        <r>
          <rPr>
            <sz val="10"/>
            <rFont val="Arial"/>
            <family val="2"/>
          </rPr>
          <t xml:space="preserve">Une ligne par route et par mois.
Mois = TOUS -&gt; programme par defaut des mois non renseignes.
Plusieurs lignes pour un meme route/mois = plusieurs vols le meme jour.
Les lignes livrees sont des exemples : les adapter.</t>
        </r>
      </text>
    </comment>
    <comment ref="B133" authorId="0">
      <text>
        <r>
          <rPr>
            <sz val="10"/>
            <rFont val="Arial"/>
            <family val="2"/>
          </rPr>
          <t xml:space="preserve">Date du vol (annee avril 2027 - mars 2028).
Nb de rotations : 1 par defaut, 2 pour une double rotation le meme jour.
Les 3 premieres lignes sont des exemples : les supprimer.</t>
        </r>
      </text>
    </comment>
    <comment ref="C4" authorId="0">
      <text>
        <r>
          <rPr>
            <sz val="10"/>
            <rFont val="Arial"/>
            <family val="2"/>
          </rPr>
          <t xml:space="preserve">Liste deroulante : avril 2027 -&gt; mars 2028.</t>
        </r>
      </text>
    </comment>
    <comment ref="C5" authorId="0">
      <text>
        <r>
          <rPr>
            <sz val="10"/>
            <rFont val="Arial"/>
            <family val="2"/>
          </rPr>
          <t xml:space="preserve">Liste deroulante : les 12 routes exploitees.</t>
        </r>
      </text>
    </comment>
  </commentList>
</comments>
</file>

<file path=xl/sharedStrings.xml><?xml version="1.0" encoding="utf-8"?>
<sst xmlns="http://schemas.openxmlformats.org/spreadsheetml/2006/main" count="261" uniqueCount="111">
  <si>
    <t xml:space="preserve">PROGRAMME DE VOLS MENSUEL - ANNEE D'EXPLOITATION AVRIL 2027 / MARS 2028</t>
  </si>
  <si>
    <t xml:space="preserve">Feuille unique : les deux filtres ci-dessous (Mois et Route) pilotent la grille, le recapitulatif ne suit que le filtre Mois. Le programme hebdomadaire se saisit MOIS PAR MOIS dans la table du bas : une ligne = une route + un mois + le type avion opere chaque jour. Plusieurs lignes pour un meme mois = plusieurs vols le meme jour. Tout est calcule par formule.</t>
  </si>
  <si>
    <t xml:space="preserve">REPERES CALCULES</t>
  </si>
  <si>
    <t xml:space="preserve">Mois (filtre)</t>
  </si>
  <si>
    <t xml:space="preserve">1er jour</t>
  </si>
  <si>
    <t xml:space="preserve">Types avion</t>
  </si>
  <si>
    <t xml:space="preserve">Routes</t>
  </si>
  <si>
    <t xml:space="preserve">Mois (saisie programme)</t>
  </si>
  <si>
    <t xml:space="preserve">FILTRE  MOIS</t>
  </si>
  <si>
    <t xml:space="preserve">avril 2027</t>
  </si>
  <si>
    <t xml:space="preserve">&lt;-- liste deroulante : pilote la grille, le recapitulatif ET le programme applique</t>
  </si>
  <si>
    <t xml:space="preserve">1er jour du mois</t>
  </si>
  <si>
    <t xml:space="preserve">77W</t>
  </si>
  <si>
    <t xml:space="preserve">CDGRUN</t>
  </si>
  <si>
    <t xml:space="preserve">TOUS</t>
  </si>
  <si>
    <t xml:space="preserve">FILTRE  ROUTE</t>
  </si>
  <si>
    <t xml:space="preserve">NOSRUN</t>
  </si>
  <si>
    <t xml:space="preserve">&lt;-- liste deroulante : pilote la grille uniquement</t>
  </si>
  <si>
    <t xml:space="preserve">Dernier jour du mois</t>
  </si>
  <si>
    <t xml:space="preserve">mai 2027</t>
  </si>
  <si>
    <t xml:space="preserve">778</t>
  </si>
  <si>
    <t xml:space="preserve">CDGDZA</t>
  </si>
  <si>
    <t xml:space="preserve">GRILLE MENSUELLE  -  type avion opere par semaine et par jour (filtres Mois + Route)</t>
  </si>
  <si>
    <t xml:space="preserve">Lundi semaine 1</t>
  </si>
  <si>
    <t xml:space="preserve">juin 2027</t>
  </si>
  <si>
    <t xml:space="preserve">A320</t>
  </si>
  <si>
    <t xml:space="preserve">BKKRUN</t>
  </si>
  <si>
    <t xml:space="preserve">Semaine</t>
  </si>
  <si>
    <t xml:space="preserve">J1 - Lundi</t>
  </si>
  <si>
    <t xml:space="preserve">J2 - Mardi</t>
  </si>
  <si>
    <t xml:space="preserve">J3 - Mercredi</t>
  </si>
  <si>
    <t xml:space="preserve">J4 - Jeudi</t>
  </si>
  <si>
    <t xml:space="preserve">J5 - Vendredi</t>
  </si>
  <si>
    <t xml:space="preserve">J6 - Samedi</t>
  </si>
  <si>
    <t xml:space="preserve">J7 - Dimanche</t>
  </si>
  <si>
    <t xml:space="preserve">Programme applique</t>
  </si>
  <si>
    <t xml:space="preserve">juillet 2027</t>
  </si>
  <si>
    <t xml:space="preserve">DZARUN</t>
  </si>
  <si>
    <t xml:space="preserve">Semaine 1</t>
  </si>
  <si>
    <t xml:space="preserve">Type(s) avion</t>
  </si>
  <si>
    <t xml:space="preserve">aout 2027</t>
  </si>
  <si>
    <t xml:space="preserve">MRURUN</t>
  </si>
  <si>
    <t xml:space="preserve">Rotations / semaine</t>
  </si>
  <si>
    <t xml:space="preserve">septembre 2027</t>
  </si>
  <si>
    <t xml:space="preserve">Semaine 2</t>
  </si>
  <si>
    <t xml:space="preserve">Total rotations mois</t>
  </si>
  <si>
    <t xml:space="preserve">octobre 2027</t>
  </si>
  <si>
    <t xml:space="preserve">RUNTNR</t>
  </si>
  <si>
    <t xml:space="preserve">novembre 2027</t>
  </si>
  <si>
    <t xml:space="preserve">JNBRUN</t>
  </si>
  <si>
    <t xml:space="preserve">Semaine 3</t>
  </si>
  <si>
    <t xml:space="preserve">PROGRAMME DE LA ROUTE FILTREE POUR LE MOIS FILTRE (auto - alimente la grille)</t>
  </si>
  <si>
    <t xml:space="preserve">decembre 2027</t>
  </si>
  <si>
    <t xml:space="preserve">CPTRUN</t>
  </si>
  <si>
    <t xml:space="preserve">Jour</t>
  </si>
  <si>
    <t xml:space="preserve">J1</t>
  </si>
  <si>
    <t xml:space="preserve">J2</t>
  </si>
  <si>
    <t xml:space="preserve">J3</t>
  </si>
  <si>
    <t xml:space="preserve">J4</t>
  </si>
  <si>
    <t xml:space="preserve">J5</t>
  </si>
  <si>
    <t xml:space="preserve">J6</t>
  </si>
  <si>
    <t xml:space="preserve">J7</t>
  </si>
  <si>
    <t xml:space="preserve">janvier 2028</t>
  </si>
  <si>
    <t xml:space="preserve">DIERUN</t>
  </si>
  <si>
    <t xml:space="preserve">Semaine 4</t>
  </si>
  <si>
    <t xml:space="preserve">Vols du jour (affichage grille)</t>
  </si>
  <si>
    <t xml:space="preserve">fevrier 2028</t>
  </si>
  <si>
    <t xml:space="preserve">RRGRUN</t>
  </si>
  <si>
    <t xml:space="preserve">dont 77W</t>
  </si>
  <si>
    <t xml:space="preserve">mars 2028</t>
  </si>
  <si>
    <t xml:space="preserve">TMMRUN</t>
  </si>
  <si>
    <t xml:space="preserve">Semaine 5</t>
  </si>
  <si>
    <t xml:space="preserve">dont 778</t>
  </si>
  <si>
    <t xml:space="preserve">dont A320</t>
  </si>
  <si>
    <t xml:space="preserve">Semaine 6</t>
  </si>
  <si>
    <t xml:space="preserve">Nb de vols</t>
  </si>
  <si>
    <t xml:space="preserve">Occurrences du jour dans le mois</t>
  </si>
  <si>
    <t xml:space="preserve">NB DE VOLS PAR ROUTE ET PAR JOUR POUR LE MOIS FILTRE (auto - alimente le recapitulatif)</t>
  </si>
  <si>
    <t xml:space="preserve">Nb de semaines calendaires du mois</t>
  </si>
  <si>
    <t xml:space="preserve">Lecture : "778" = 1 vol du programme  |  "77W/778/A320" = 2 ou 3 vols le meme jour  |  "778 (+A320)" = programme + vol additionnel (bordure rouge)  |  "(+A320)" = vol additionnel seul.</t>
  </si>
  <si>
    <t xml:space="preserve">Route</t>
  </si>
  <si>
    <t xml:space="preserve">Vols en 77W</t>
  </si>
  <si>
    <t xml:space="preserve">RECAPITULATIF MENSUEL - TOUTES ROUTES  (depend uniquement du filtre Mois)</t>
  </si>
  <si>
    <t xml:space="preserve">Semaine type du mois (jours J1-J7)</t>
  </si>
  <si>
    <t xml:space="preserve">Rotations/semaine</t>
  </si>
  <si>
    <t xml:space="preserve">Nb de semaines/occurrences dans le mois</t>
  </si>
  <si>
    <t xml:space="preserve">Total rotations du mois</t>
  </si>
  <si>
    <t xml:space="preserve">dont programme hebdo</t>
  </si>
  <si>
    <t xml:space="preserve">dont vols additionnels</t>
  </si>
  <si>
    <t xml:space="preserve">Total 77W</t>
  </si>
  <si>
    <t xml:space="preserve">Total 778</t>
  </si>
  <si>
    <t xml:space="preserve">Total A320</t>
  </si>
  <si>
    <t xml:space="preserve">Vols en 778</t>
  </si>
  <si>
    <t xml:space="preserve">TOTAL GENERAL</t>
  </si>
  <si>
    <t xml:space="preserve">Methode : le programme retenu pour chaque route est celui du mois filtre s'il existe une ligne pour ce mois, sinon le programme "TOUS" (colonne Programme applique). Pour chaque jour opere, le nombre d'occurrences de ce jour dans le mois est compte a partir des dates reelles de la grille (ligne "Occurrences du jour dans le mois", semaines partielles incluses), chaque vol de la journee etant compte separement. Total rotations du mois = programme hebdo + vols additionnels dates du mois ; les colonnes Total 77W / 778 / A320 le ventilent par type avion.</t>
  </si>
  <si>
    <t xml:space="preserve">1) PROGRAMMES HEBDOMADAIRES PAR ROUTE ET PAR MOIS (saisie principale)</t>
  </si>
  <si>
    <t xml:space="preserve">Cellules en BLEU = saisie utilisateur. UNE LIGNE = une route + un mois + le type avion opere chaque jour J1-J7 (cellule vide = pas de vol ce jour-la). La frequence hebdomadaire peut donc etre differente pour chaque mois : il suffit d'ajouter une ligne au mois concerne. AJOUTER PLUSIEURS LIGNES pour un meme couple route/mois = plusieurs vols le meme jour, avec le meme type ou des types differents.  &gt;&gt;&gt; Mois = "TOUS" : programme par defaut, applique uniquement aux mois qui n'ont AUCUNE ligne specifique pour cette route ; des qu'une ligne existe pour un mois, elle remplace le programme "TOUS" pour ce mois. La colonne Statut indique en vert les lignes reellement appliquees au mois filtre. Astuce : utiliser les fleches de filtre de l'en-tete pour n'afficher qu'un mois ou qu'une route, et copier/coller une ligne pour creer le programme d'un nouveau mois. Lignes livrees = exemples a ajuster.</t>
  </si>
  <si>
    <t xml:space="preserve">Mois du programme</t>
  </si>
  <si>
    <t xml:space="preserve">Rot./sem. (auto)</t>
  </si>
  <si>
    <t xml:space="preserve">Statut (auto)</t>
  </si>
  <si>
    <t xml:space="preserve">Vols en A320</t>
  </si>
  <si>
    <t xml:space="preserve">2) VOLS ADDITIONNELS (en plus du programme hebdomadaire)</t>
  </si>
  <si>
    <t xml:space="preserve">Une ligne = un vol supplementaire date (charter, renfort ponctuel, fret...). Il s'ajoute au programme du mois, sur n'importe quel jour, y compris un jour deja opere ou un jour hors programme. Il apparait dans la grille entre parentheses avec un + et une bordure rouge, et il est compte dans le recapitulatif du mois concerne. Pour une modification recurrente sur tout un mois, preferer une ligne de programme ci-dessus.</t>
  </si>
  <si>
    <t xml:space="preserve">Date du vol</t>
  </si>
  <si>
    <t xml:space="preserve">Type avion</t>
  </si>
  <si>
    <t xml:space="preserve">Nb de rotations</t>
  </si>
  <si>
    <t xml:space="preserve">Commentaire (libre)</t>
  </si>
  <si>
    <t xml:space="preserve">Cle technique (auto)</t>
  </si>
  <si>
    <t xml:space="preserve">EXEMPLE a supprimer - vol supplementaire un mercredi (jour hors programme)</t>
  </si>
  <si>
    <t xml:space="preserve">EXEMPLE a supprimer - rotation doublee un samedi (jour deja opere)</t>
  </si>
  <si>
    <t xml:space="preserve">EXEMPLE a supprimer - 2 rotations fret supplementaires</t>
  </si>
</sst>
</file>

<file path=xl/styles.xml><?xml version="1.0" encoding="utf-8"?>
<styleSheet xmlns="http://schemas.openxmlformats.org/spreadsheetml/2006/main">
  <numFmts count="5">
    <numFmt numFmtId="164" formatCode="General"/>
    <numFmt numFmtId="165" formatCode="dd/mm/yyyy"/>
    <numFmt numFmtId="166" formatCode="dd/mm"/>
    <numFmt numFmtId="167" formatCode="0"/>
    <numFmt numFmtId="168" formatCode="General"/>
  </numFmts>
  <fonts count="28">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404040"/>
      <name val="Arial"/>
      <family val="0"/>
      <charset val="1"/>
    </font>
    <font>
      <b val="true"/>
      <sz val="10"/>
      <color rgb="FFFFFFFF"/>
      <name val="Arial"/>
      <family val="0"/>
      <charset val="1"/>
    </font>
    <font>
      <b val="true"/>
      <sz val="8"/>
      <color rgb="FFFFFFFF"/>
      <name val="Arial"/>
      <family val="0"/>
      <charset val="1"/>
    </font>
    <font>
      <b val="true"/>
      <sz val="11"/>
      <color rgb="FFFFFFFF"/>
      <name val="Arial"/>
      <family val="0"/>
      <charset val="1"/>
    </font>
    <font>
      <b val="true"/>
      <sz val="12"/>
      <color rgb="FF0000FF"/>
      <name val="Arial"/>
      <family val="0"/>
      <charset val="1"/>
    </font>
    <font>
      <i val="true"/>
      <sz val="9"/>
      <color rgb="FF808080"/>
      <name val="Arial"/>
      <family val="0"/>
      <charset val="1"/>
    </font>
    <font>
      <sz val="9"/>
      <color rgb="FF000000"/>
      <name val="Arial"/>
      <family val="0"/>
      <charset val="1"/>
    </font>
    <font>
      <b val="true"/>
      <sz val="9"/>
      <color rgb="FF000000"/>
      <name val="Arial"/>
      <family val="0"/>
      <charset val="1"/>
    </font>
    <font>
      <sz val="8"/>
      <color rgb="FF000000"/>
      <name val="Arial"/>
      <family val="0"/>
      <charset val="1"/>
    </font>
    <font>
      <b val="true"/>
      <sz val="8"/>
      <color rgb="FF000000"/>
      <name val="Arial"/>
      <family val="0"/>
      <charset val="1"/>
    </font>
    <font>
      <b val="true"/>
      <sz val="10"/>
      <color rgb="FF000000"/>
      <name val="Arial"/>
      <family val="0"/>
      <charset val="1"/>
    </font>
    <font>
      <i val="true"/>
      <sz val="8"/>
      <color rgb="FF595959"/>
      <name val="Arial"/>
      <family val="0"/>
      <charset val="1"/>
    </font>
    <font>
      <b val="true"/>
      <sz val="9"/>
      <color rgb="FFFFFFFF"/>
      <name val="Arial"/>
      <family val="0"/>
      <charset val="1"/>
    </font>
    <font>
      <sz val="10"/>
      <color rgb="FF000000"/>
      <name val="Arial"/>
      <family val="0"/>
      <charset val="1"/>
    </font>
    <font>
      <b val="true"/>
      <sz val="11"/>
      <color rgb="FF000000"/>
      <name val="Arial"/>
      <family val="0"/>
      <charset val="1"/>
    </font>
    <font>
      <i val="true"/>
      <sz val="8"/>
      <color rgb="FF000000"/>
      <name val="Arial"/>
      <family val="0"/>
      <charset val="1"/>
    </font>
    <font>
      <i val="true"/>
      <sz val="8"/>
      <color rgb="FF833C0C"/>
      <name val="Arial"/>
      <family val="0"/>
      <charset val="1"/>
    </font>
    <font>
      <b val="true"/>
      <sz val="10"/>
      <color rgb="FF0000FF"/>
      <name val="Arial"/>
      <family val="0"/>
      <charset val="1"/>
    </font>
    <font>
      <sz val="9"/>
      <color rgb="FF0000FF"/>
      <name val="Arial"/>
      <family val="0"/>
      <charset val="1"/>
    </font>
    <font>
      <sz val="10"/>
      <color rgb="FF0000FF"/>
      <name val="Arial"/>
      <family val="0"/>
      <charset val="1"/>
    </font>
    <font>
      <i val="true"/>
      <sz val="9"/>
      <color rgb="FF595959"/>
      <name val="Arial"/>
      <family val="0"/>
      <charset val="1"/>
    </font>
    <font>
      <sz val="8"/>
      <color rgb="FFA6A6A6"/>
      <name val="Arial"/>
      <family val="0"/>
      <charset val="1"/>
    </font>
    <font>
      <sz val="10"/>
      <name val="Arial"/>
      <family val="2"/>
    </font>
  </fonts>
  <fills count="11">
    <fill>
      <patternFill patternType="none"/>
    </fill>
    <fill>
      <patternFill patternType="gray125"/>
    </fill>
    <fill>
      <patternFill patternType="solid">
        <fgColor rgb="FF1F3864"/>
        <bgColor rgb="FF404040"/>
      </patternFill>
    </fill>
    <fill>
      <patternFill patternType="solid">
        <fgColor rgb="FF808080"/>
        <bgColor rgb="FFA6A6A6"/>
      </patternFill>
    </fill>
    <fill>
      <patternFill patternType="solid">
        <fgColor rgb="FFFFF2CC"/>
        <bgColor rgb="FFF2F2F2"/>
      </patternFill>
    </fill>
    <fill>
      <patternFill patternType="solid">
        <fgColor rgb="FFF2F2F2"/>
        <bgColor rgb="FFE7E6E6"/>
      </patternFill>
    </fill>
    <fill>
      <patternFill patternType="solid">
        <fgColor rgb="FF2F5597"/>
        <bgColor rgb="FF2E75B6"/>
      </patternFill>
    </fill>
    <fill>
      <patternFill patternType="solid">
        <fgColor rgb="FFD9E2F3"/>
        <bgColor rgb="FFE7E6E6"/>
      </patternFill>
    </fill>
    <fill>
      <patternFill patternType="solid">
        <fgColor rgb="FFE7E6E6"/>
        <bgColor rgb="FFE2EFDA"/>
      </patternFill>
    </fill>
    <fill>
      <patternFill patternType="solid">
        <fgColor rgb="FF833C0C"/>
        <bgColor rgb="FF993366"/>
      </patternFill>
    </fill>
    <fill>
      <patternFill patternType="solid">
        <fgColor rgb="FFA6A6A6"/>
        <bgColor rgb="FF8FAADC"/>
      </patternFill>
    </fill>
  </fills>
  <borders count="3">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 diagonalUp="false" diagonalDown="false">
      <left style="medium">
        <color rgb="FF404040"/>
      </left>
      <right/>
      <top style="medium">
        <color rgb="FF404040"/>
      </top>
      <bottom style="medium">
        <color rgb="FF40404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6" fillId="2" borderId="0" xfId="0" applyFont="true" applyBorder="true" applyAlignment="true" applyProtection="false">
      <alignment horizontal="left"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4" fontId="9" fillId="4" borderId="2"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11" fillId="5" borderId="1" xfId="0" applyFont="true" applyBorder="true" applyAlignment="true" applyProtection="false">
      <alignment horizontal="left" vertical="center" textRotation="0" wrapText="false" indent="0" shrinkToFit="false"/>
      <protection locked="true" hidden="false"/>
    </xf>
    <xf numFmtId="165"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1" xfId="0" applyFont="true" applyBorder="true" applyAlignment="true" applyProtection="false">
      <alignment horizontal="left" vertical="center" textRotation="0" wrapText="false" indent="0" shrinkToFit="false"/>
      <protection locked="true" hidden="false"/>
    </xf>
    <xf numFmtId="164" fontId="8" fillId="2" borderId="0" xfId="0" applyFont="true" applyBorder="true" applyAlignment="true" applyProtection="false">
      <alignment horizontal="left" vertical="center" textRotation="0" wrapText="false" indent="0" shrinkToFit="false"/>
      <protection locked="true" hidden="false"/>
    </xf>
    <xf numFmtId="164" fontId="6" fillId="6"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5" fillId="7" borderId="1" xfId="0" applyFont="true" applyBorder="true" applyAlignment="true" applyProtection="false">
      <alignment horizontal="left" vertical="center" textRotation="0" wrapText="fals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4" fontId="16" fillId="7" borderId="1" xfId="0" applyFont="true" applyBorder="true" applyAlignment="true" applyProtection="false">
      <alignment horizontal="left" vertical="center" textRotation="0" wrapText="false" indent="0" shrinkToFit="false"/>
      <protection locked="true" hidden="false"/>
    </xf>
    <xf numFmtId="166" fontId="16"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false">
      <alignment horizontal="center" vertical="center" textRotation="0" wrapText="false" indent="0" shrinkToFit="false"/>
      <protection locked="true" hidden="false"/>
    </xf>
    <xf numFmtId="164" fontId="17" fillId="2" borderId="0" xfId="0" applyFont="true" applyBorder="true" applyAlignment="true" applyProtection="false">
      <alignment horizontal="left" vertical="center"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4" fontId="14" fillId="5" borderId="1" xfId="0" applyFont="true" applyBorder="true" applyAlignment="true" applyProtection="false">
      <alignment horizontal="left" vertical="center" textRotation="0" wrapText="fals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67" fontId="11" fillId="0" borderId="1" xfId="0" applyFont="true" applyBorder="true" applyAlignment="true" applyProtection="false">
      <alignment horizontal="center" vertical="center" textRotation="0" wrapText="false" indent="0" shrinkToFit="false"/>
      <protection locked="true" hidden="false"/>
    </xf>
    <xf numFmtId="164" fontId="12" fillId="8" borderId="1" xfId="0" applyFont="true" applyBorder="true" applyAlignment="true" applyProtection="false">
      <alignment horizontal="left" vertical="center" textRotation="0" wrapText="false" indent="0" shrinkToFit="false"/>
      <protection locked="true" hidden="false"/>
    </xf>
    <xf numFmtId="168" fontId="15" fillId="8"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14" fillId="8" borderId="1" xfId="0" applyFont="true" applyBorder="true" applyAlignment="true" applyProtection="false">
      <alignment horizontal="left"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4" fontId="17" fillId="6"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7" fontId="18" fillId="0" borderId="1" xfId="0" applyFont="true" applyBorder="true" applyAlignment="true" applyProtection="false">
      <alignment horizontal="center" vertical="center" textRotation="0" wrapText="false" indent="0" shrinkToFit="false"/>
      <protection locked="true" hidden="false"/>
    </xf>
    <xf numFmtId="167" fontId="19"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center" vertical="center" textRotation="0" wrapText="false" indent="0" shrinkToFit="false"/>
      <protection locked="true" hidden="false"/>
    </xf>
    <xf numFmtId="164" fontId="6" fillId="2" borderId="1" xfId="0" applyFont="true" applyBorder="true" applyAlignment="true" applyProtection="false">
      <alignment horizontal="left" vertical="center" textRotation="0" wrapText="false" indent="0" shrinkToFit="false"/>
      <protection locked="true" hidden="false"/>
    </xf>
    <xf numFmtId="164" fontId="18" fillId="2" borderId="1" xfId="0" applyFont="true" applyBorder="true" applyAlignment="true" applyProtection="false">
      <alignment horizontal="center" vertical="center" textRotation="0" wrapText="false" indent="0" shrinkToFit="false"/>
      <protection locked="true" hidden="false"/>
    </xf>
    <xf numFmtId="167" fontId="6" fillId="2" borderId="1" xfId="0" applyFont="true" applyBorder="true" applyAlignment="true" applyProtection="false">
      <alignment horizontal="center" vertical="center" textRotation="0" wrapText="false" indent="0" shrinkToFit="false"/>
      <protection locked="true" hidden="false"/>
    </xf>
    <xf numFmtId="167" fontId="8" fillId="2"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true" indent="0" shrinkToFit="false"/>
      <protection locked="true" hidden="false"/>
    </xf>
    <xf numFmtId="164" fontId="8" fillId="9" borderId="0" xfId="0" applyFont="true" applyBorder="true" applyAlignment="true" applyProtection="false">
      <alignment horizontal="left" vertical="center" textRotation="0" wrapText="false" indent="0" shrinkToFit="false"/>
      <protection locked="true" hidden="false"/>
    </xf>
    <xf numFmtId="164" fontId="21" fillId="0" borderId="0" xfId="0" applyFont="true" applyBorder="true" applyAlignment="true" applyProtection="false">
      <alignment horizontal="left" vertical="center" textRotation="0" wrapText="true" indent="0" shrinkToFit="false"/>
      <protection locked="true" hidden="false"/>
    </xf>
    <xf numFmtId="164" fontId="17" fillId="9" borderId="1" xfId="0" applyFont="true" applyBorder="true" applyAlignment="true" applyProtection="false">
      <alignment horizontal="center" vertical="center" textRotation="0" wrapText="true" indent="0" shrinkToFit="false"/>
      <protection locked="true" hidden="false"/>
    </xf>
    <xf numFmtId="164" fontId="22" fillId="0" borderId="1" xfId="0" applyFont="true" applyBorder="true" applyAlignment="true" applyProtection="false">
      <alignment horizontal="left"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center" vertical="center" textRotation="0" wrapText="false" indent="0" shrinkToFit="false"/>
      <protection locked="true" hidden="false"/>
    </xf>
    <xf numFmtId="167" fontId="15" fillId="0" borderId="1" xfId="0" applyFont="true" applyBorder="true" applyAlignment="true" applyProtection="false">
      <alignment horizontal="center"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7" fillId="10" borderId="1" xfId="0" applyFont="true" applyBorder="true" applyAlignment="true" applyProtection="false">
      <alignment horizontal="center" vertical="center" textRotation="0" wrapText="true" indent="0" shrinkToFit="false"/>
      <protection locked="true" hidden="false"/>
    </xf>
    <xf numFmtId="165" fontId="24" fillId="0" borderId="1" xfId="0" applyFont="true" applyBorder="true" applyAlignment="true" applyProtection="false">
      <alignment horizontal="center" vertical="center" textRotation="0" wrapText="false" indent="0" shrinkToFit="false"/>
      <protection locked="true" hidden="false"/>
    </xf>
    <xf numFmtId="167" fontId="24" fillId="0" borderId="1" xfId="0" applyFont="true" applyBorder="true" applyAlignment="true" applyProtection="false">
      <alignment horizontal="center" vertical="center" textRotation="0" wrapText="false" indent="0" shrinkToFit="false"/>
      <protection locked="true" hidden="false"/>
    </xf>
    <xf numFmtId="164" fontId="25" fillId="0" borderId="1" xfId="0" applyFont="true" applyBorder="true" applyAlignment="true" applyProtection="false">
      <alignment horizontal="left" vertical="center" textRotation="0" wrapText="false" indent="0" shrinkToFit="false"/>
      <protection locked="true" hidden="false"/>
    </xf>
    <xf numFmtId="164" fontId="26"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4">
    <dxf>
      <fill>
        <patternFill patternType="solid">
          <fgColor rgb="FF2E75B6"/>
          <bgColor rgb="FF000000"/>
        </patternFill>
      </fill>
    </dxf>
    <dxf>
      <fill>
        <patternFill patternType="solid">
          <fgColor rgb="FF833C0C"/>
          <bgColor rgb="FF000000"/>
        </patternFill>
      </fill>
    </dxf>
    <dxf>
      <fill>
        <patternFill patternType="solid">
          <fgColor rgb="FF8FAADC"/>
          <bgColor rgb="FF000000"/>
        </patternFill>
      </fill>
    </dxf>
    <dxf>
      <fill>
        <patternFill patternType="solid">
          <fgColor rgb="FF9DC3E6"/>
          <bgColor rgb="FF000000"/>
        </patternFill>
      </fill>
    </dxf>
    <dxf>
      <fill>
        <patternFill patternType="solid">
          <fgColor rgb="FFA9D08E"/>
          <bgColor rgb="FF000000"/>
        </patternFill>
      </fill>
    </dxf>
    <dxf>
      <fill>
        <patternFill patternType="solid">
          <fgColor rgb="FFB7DEE8"/>
          <bgColor rgb="FF000000"/>
        </patternFill>
      </fill>
    </dxf>
    <dxf>
      <fill>
        <patternFill patternType="solid">
          <fgColor rgb="FFC6E0B4"/>
          <bgColor rgb="FF000000"/>
        </patternFill>
      </fill>
    </dxf>
    <dxf>
      <fill>
        <patternFill patternType="solid">
          <fgColor rgb="FFD5A6BD"/>
          <bgColor rgb="FF000000"/>
        </patternFill>
      </fill>
    </dxf>
    <dxf>
      <fill>
        <patternFill patternType="solid">
          <fgColor rgb="FFD9D2E9"/>
          <bgColor rgb="FF000000"/>
        </patternFill>
      </fill>
    </dxf>
    <dxf>
      <fill>
        <patternFill patternType="solid">
          <fgColor rgb="FFF4B183"/>
          <bgColor rgb="FF000000"/>
        </patternFill>
      </fill>
    </dxf>
    <dxf>
      <fill>
        <patternFill patternType="solid">
          <fgColor rgb="FFFFC7CE"/>
          <bgColor rgb="FF000000"/>
        </patternFill>
      </fill>
    </dxf>
    <dxf>
      <fill>
        <patternFill patternType="solid">
          <fgColor rgb="FFFFD966"/>
          <bgColor rgb="FF000000"/>
        </patternFill>
      </fill>
    </dxf>
    <dxf>
      <fill>
        <patternFill patternType="solid">
          <fgColor rgb="FFFFE699"/>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A6A6A6"/>
          <bgColor rgb="FF000000"/>
        </patternFill>
      </fill>
    </dxf>
    <dxf>
      <border diagonalUp="false" diagonalDown="false">
        <left style="medium">
          <color rgb="FFC00000"/>
        </left>
        <right style="medium">
          <color rgb="FFC00000"/>
        </right>
        <top style="medium">
          <color rgb="FFC00000"/>
        </top>
        <bottom style="medium">
          <color rgb="FFC00000"/>
        </bottom>
        <diagonal/>
      </border>
    </dxf>
    <dxf>
      <font>
        <name val="Arial"/>
        <charset val="1"/>
        <family val="0"/>
        <b val="1"/>
        <color rgb="FF000000"/>
        <sz val="10"/>
      </font>
      <fill>
        <patternFill>
          <bgColor rgb="FF9DC3E6"/>
        </patternFill>
      </fill>
    </dxf>
    <dxf>
      <font>
        <name val="Arial"/>
        <charset val="1"/>
        <family val="0"/>
        <b val="1"/>
        <color rgb="FFFFFFFF"/>
        <sz val="10"/>
      </font>
      <fill>
        <patternFill>
          <bgColor rgb="FF2E75B6"/>
        </patternFill>
      </fill>
    </dxf>
    <dxf>
      <font>
        <name val="Arial"/>
        <charset val="1"/>
        <family val="0"/>
        <b val="1"/>
        <color rgb="FF000000"/>
        <sz val="10"/>
      </font>
      <fill>
        <patternFill>
          <bgColor rgb="FFFFE699"/>
        </patternFill>
      </fill>
    </dxf>
    <dxf>
      <font>
        <name val="Arial"/>
        <charset val="1"/>
        <family val="0"/>
        <b val="1"/>
        <color rgb="FF000000"/>
        <sz val="10"/>
      </font>
      <fill>
        <patternFill>
          <bgColor rgb="FFF4B183"/>
        </patternFill>
      </fill>
    </dxf>
    <dxf>
      <font>
        <name val="Arial"/>
        <charset val="1"/>
        <family val="0"/>
        <b val="1"/>
        <color rgb="FF000000"/>
        <sz val="10"/>
      </font>
      <fill>
        <patternFill>
          <bgColor rgb="FFC6E0B4"/>
        </patternFill>
      </fill>
    </dxf>
    <dxf>
      <font>
        <name val="Arial"/>
        <charset val="1"/>
        <family val="0"/>
        <b val="1"/>
        <color rgb="FF000000"/>
        <sz val="10"/>
      </font>
      <fill>
        <patternFill>
          <bgColor rgb="FFFFD966"/>
        </patternFill>
      </fill>
    </dxf>
    <dxf>
      <font>
        <name val="Arial"/>
        <charset val="1"/>
        <family val="0"/>
        <b val="1"/>
        <color rgb="FF000000"/>
        <sz val="10"/>
      </font>
      <fill>
        <patternFill>
          <bgColor rgb="FFD9D2E9"/>
        </patternFill>
      </fill>
    </dxf>
    <dxf>
      <font>
        <name val="Arial"/>
        <charset val="1"/>
        <family val="0"/>
        <b val="1"/>
        <color rgb="FF000000"/>
        <sz val="10"/>
      </font>
      <fill>
        <patternFill>
          <bgColor rgb="FFA9D08E"/>
        </patternFill>
      </fill>
    </dxf>
    <dxf>
      <font>
        <name val="Arial"/>
        <charset val="1"/>
        <family val="0"/>
        <b val="1"/>
        <color rgb="FF000000"/>
        <sz val="10"/>
      </font>
      <fill>
        <patternFill>
          <bgColor rgb="FF8FAADC"/>
        </patternFill>
      </fill>
    </dxf>
    <dxf>
      <font>
        <name val="Arial"/>
        <charset val="1"/>
        <family val="0"/>
        <b val="1"/>
        <color rgb="FF000000"/>
        <sz val="10"/>
      </font>
      <fill>
        <patternFill>
          <bgColor rgb="FFFFC7CE"/>
        </patternFill>
      </fill>
    </dxf>
    <dxf>
      <font>
        <name val="Arial"/>
        <charset val="1"/>
        <family val="0"/>
        <b val="1"/>
        <color rgb="FF000000"/>
        <sz val="10"/>
      </font>
      <fill>
        <patternFill>
          <bgColor rgb="FFB7DEE8"/>
        </patternFill>
      </fill>
    </dxf>
    <dxf>
      <font>
        <name val="Arial"/>
        <charset val="1"/>
        <family val="0"/>
        <b val="1"/>
        <color rgb="FF000000"/>
        <sz val="10"/>
      </font>
      <fill>
        <patternFill>
          <bgColor rgb="FFD5A6BD"/>
        </patternFill>
      </fill>
    </dxf>
    <dxf>
      <fill>
        <patternFill>
          <bgColor rgb="FFE2EFDA"/>
        </patternFill>
      </fill>
    </dxf>
    <dxf>
      <font>
        <name val="Arial"/>
        <charset val="1"/>
        <family val="0"/>
        <color rgb="FFA6A6A6"/>
        <sz val="10"/>
      </font>
    </dxf>
  </dxfs>
  <colors>
    <indexedColors>
      <rgbColor rgb="FF000000"/>
      <rgbColor rgb="FFFFFFFF"/>
      <rgbColor rgb="FFC00000"/>
      <rgbColor rgb="FF00FF00"/>
      <rgbColor rgb="FF0000FF"/>
      <rgbColor rgb="FFC6E0B4"/>
      <rgbColor rgb="FFFF00FF"/>
      <rgbColor rgb="FF00FFFF"/>
      <rgbColor rgb="FF800000"/>
      <rgbColor rgb="FF008000"/>
      <rgbColor rgb="FF000080"/>
      <rgbColor rgb="FF808000"/>
      <rgbColor rgb="FF800080"/>
      <rgbColor rgb="FF008080"/>
      <rgbColor rgb="FFD5A6BD"/>
      <rgbColor rgb="FF808080"/>
      <rgbColor rgb="FF8FAADC"/>
      <rgbColor rgb="FF993366"/>
      <rgbColor rgb="FFFFF2CC"/>
      <rgbColor rgb="FFF2F2F2"/>
      <rgbColor rgb="FF660066"/>
      <rgbColor rgb="FFFF8080"/>
      <rgbColor rgb="FF0066CC"/>
      <rgbColor rgb="FFD9D2E9"/>
      <rgbColor rgb="FF000080"/>
      <rgbColor rgb="FFFF00FF"/>
      <rgbColor rgb="FFE7E6E6"/>
      <rgbColor rgb="FF00FFFF"/>
      <rgbColor rgb="FF800080"/>
      <rgbColor rgb="FF800000"/>
      <rgbColor rgb="FF008080"/>
      <rgbColor rgb="FF0000FF"/>
      <rgbColor rgb="FF00CCFF"/>
      <rgbColor rgb="FFD9E2F3"/>
      <rgbColor rgb="FFE2EFDA"/>
      <rgbColor rgb="FFFFE699"/>
      <rgbColor rgb="FF9DC3E6"/>
      <rgbColor rgb="FFF4B183"/>
      <rgbColor rgb="FFB7DEE8"/>
      <rgbColor rgb="FFFFC7CE"/>
      <rgbColor rgb="FF2E75B6"/>
      <rgbColor rgb="FF33CCCC"/>
      <rgbColor rgb="FFA9D08E"/>
      <rgbColor rgb="FFFFD966"/>
      <rgbColor rgb="FFFF9900"/>
      <rgbColor rgb="FFFF6600"/>
      <rgbColor rgb="FF595959"/>
      <rgbColor rgb="FFA6A6A6"/>
      <rgbColor rgb="FF1F3864"/>
      <rgbColor rgb="FF339966"/>
      <rgbColor rgb="FF003300"/>
      <rgbColor rgb="FF333300"/>
      <rgbColor rgb="FF833C0C"/>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AA17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0"/>
    <col collapsed="false" customWidth="true" hidden="false" outlineLevel="0" max="11" min="3" style="0" width="18"/>
    <col collapsed="false" customWidth="true" hidden="false" outlineLevel="0" max="12" min="12" style="0" width="14"/>
    <col collapsed="false" customWidth="true" hidden="false" outlineLevel="0" max="13" min="13" style="0" width="12"/>
    <col collapsed="false" customWidth="true" hidden="false" outlineLevel="0" max="14" min="14" style="0" width="26"/>
    <col collapsed="false" customWidth="true" hidden="false" outlineLevel="0" max="21" min="15" style="0" width="10"/>
    <col collapsed="false" customWidth="true" hidden="false" outlineLevel="0" max="22" min="22" style="0" width="3"/>
    <col collapsed="false" customWidth="true" hidden="false" outlineLevel="0" max="23" min="23" style="0" width="18"/>
    <col collapsed="false" customWidth="true" hidden="false" outlineLevel="0" max="24" min="24" style="0" width="12"/>
    <col collapsed="false" customWidth="true" hidden="false" outlineLevel="0" max="26" min="25" style="0" width="10"/>
    <col collapsed="false" customWidth="true" hidden="false" outlineLevel="0" max="27" min="27" style="0" width="20"/>
  </cols>
  <sheetData>
    <row r="1" customFormat="false" ht="30" hidden="false" customHeight="true" outlineLevel="0" collapsed="false">
      <c r="B1" s="1" t="s">
        <v>0</v>
      </c>
      <c r="C1" s="1"/>
      <c r="D1" s="1"/>
      <c r="E1" s="1"/>
      <c r="F1" s="1"/>
      <c r="G1" s="1"/>
      <c r="H1" s="1"/>
      <c r="I1" s="1"/>
    </row>
    <row r="2" customFormat="false" ht="25.5" hidden="false" customHeight="true" outlineLevel="0" collapsed="false">
      <c r="B2" s="2" t="s">
        <v>1</v>
      </c>
      <c r="C2" s="2"/>
      <c r="D2" s="2"/>
      <c r="E2" s="2"/>
      <c r="F2" s="2"/>
      <c r="G2" s="2"/>
      <c r="H2" s="2"/>
      <c r="I2" s="2"/>
    </row>
    <row r="3" customFormat="false" ht="15" hidden="false" customHeight="false" outlineLevel="0" collapsed="false">
      <c r="N3" s="3" t="s">
        <v>2</v>
      </c>
      <c r="O3" s="3"/>
      <c r="W3" s="4" t="s">
        <v>3</v>
      </c>
      <c r="X3" s="4" t="s">
        <v>4</v>
      </c>
      <c r="Y3" s="4" t="s">
        <v>5</v>
      </c>
      <c r="Z3" s="4" t="s">
        <v>6</v>
      </c>
      <c r="AA3" s="4" t="s">
        <v>7</v>
      </c>
    </row>
    <row r="4" customFormat="false" ht="15" hidden="false" customHeight="false" outlineLevel="0" collapsed="false">
      <c r="B4" s="5" t="s">
        <v>8</v>
      </c>
      <c r="C4" s="6" t="s">
        <v>9</v>
      </c>
      <c r="D4" s="6"/>
      <c r="E4" s="7" t="s">
        <v>10</v>
      </c>
      <c r="N4" s="8" t="s">
        <v>11</v>
      </c>
      <c r="O4" s="9" t="n">
        <f aca="false">INDEX($X$4:$X$15,MATCH($C$4,$W$4:$W$15,0))</f>
        <v>46478</v>
      </c>
      <c r="W4" s="10" t="s">
        <v>9</v>
      </c>
      <c r="X4" s="11" t="n">
        <f aca="false">DATE(2027,4,1)</f>
        <v>46478</v>
      </c>
      <c r="Y4" s="12" t="s">
        <v>12</v>
      </c>
      <c r="Z4" s="12" t="s">
        <v>13</v>
      </c>
      <c r="AA4" s="13" t="s">
        <v>14</v>
      </c>
    </row>
    <row r="5" customFormat="false" ht="15" hidden="false" customHeight="false" outlineLevel="0" collapsed="false">
      <c r="B5" s="5" t="s">
        <v>15</v>
      </c>
      <c r="C5" s="6" t="s">
        <v>16</v>
      </c>
      <c r="D5" s="6"/>
      <c r="E5" s="7" t="s">
        <v>17</v>
      </c>
      <c r="N5" s="8" t="s">
        <v>18</v>
      </c>
      <c r="O5" s="9" t="n">
        <f aca="false">EOMONTH($O$4,0)</f>
        <v>46507</v>
      </c>
      <c r="W5" s="10" t="s">
        <v>19</v>
      </c>
      <c r="X5" s="11" t="n">
        <f aca="false">DATE(2027,5,1)</f>
        <v>46508</v>
      </c>
      <c r="Y5" s="12" t="s">
        <v>20</v>
      </c>
      <c r="Z5" s="12" t="s">
        <v>21</v>
      </c>
      <c r="AA5" s="10" t="s">
        <v>9</v>
      </c>
    </row>
    <row r="6" customFormat="false" ht="15" hidden="false" customHeight="false" outlineLevel="0" collapsed="false">
      <c r="B6" s="14" t="s">
        <v>22</v>
      </c>
      <c r="C6" s="14"/>
      <c r="D6" s="14"/>
      <c r="E6" s="14"/>
      <c r="F6" s="14"/>
      <c r="G6" s="14"/>
      <c r="H6" s="14"/>
      <c r="I6" s="14"/>
      <c r="N6" s="8" t="s">
        <v>23</v>
      </c>
      <c r="O6" s="9" t="n">
        <f aca="false">$O$4-WEEKDAY($O$4,3)</f>
        <v>46475</v>
      </c>
      <c r="W6" s="10" t="s">
        <v>24</v>
      </c>
      <c r="X6" s="11" t="n">
        <f aca="false">DATE(2027,6,1)</f>
        <v>46539</v>
      </c>
      <c r="Y6" s="12" t="s">
        <v>25</v>
      </c>
      <c r="Z6" s="12" t="s">
        <v>26</v>
      </c>
      <c r="AA6" s="10" t="s">
        <v>19</v>
      </c>
    </row>
    <row r="7" customFormat="false" ht="15" hidden="false" customHeight="false" outlineLevel="0" collapsed="false">
      <c r="B7" s="15" t="s">
        <v>27</v>
      </c>
      <c r="C7" s="15" t="s">
        <v>28</v>
      </c>
      <c r="D7" s="15" t="s">
        <v>29</v>
      </c>
      <c r="E7" s="15" t="s">
        <v>30</v>
      </c>
      <c r="F7" s="15" t="s">
        <v>31</v>
      </c>
      <c r="G7" s="15" t="s">
        <v>32</v>
      </c>
      <c r="H7" s="15" t="s">
        <v>33</v>
      </c>
      <c r="I7" s="15" t="s">
        <v>34</v>
      </c>
      <c r="N7" s="8" t="s">
        <v>35</v>
      </c>
      <c r="O7" s="16" t="str">
        <f aca="false">IF(COUNTIFS($B$46:$B$125,$C$5,$C$46:$C$125,$C$4)&gt;0,$C$4,"TOUS")</f>
        <v>TOUS</v>
      </c>
      <c r="W7" s="10" t="s">
        <v>36</v>
      </c>
      <c r="X7" s="11" t="n">
        <f aca="false">DATE(2027,7,1)</f>
        <v>46569</v>
      </c>
      <c r="Z7" s="12" t="s">
        <v>37</v>
      </c>
      <c r="AA7" s="10" t="s">
        <v>24</v>
      </c>
    </row>
    <row r="8" customFormat="false" ht="21.75" hidden="false" customHeight="true" outlineLevel="0" collapsed="false">
      <c r="B8" s="17" t="s">
        <v>38</v>
      </c>
      <c r="C8" s="18" t="str">
        <f aca="false">IF(C9="","",TRIM($O$14&amp;IF(SUMIFS($E$133:$E$172,$C$133:$C$172,$C$5,$B$133:$B$172,C9)=0,""," (+"&amp;IF(COUNTIFS($C$133:$C$172,$C$5,$B$133:$B$172,C9)=1,IF(SUMIFS($E$133:$E$172,$C$133:$C$172,$C$5,$B$133:$B$172,C9)=1,IFERROR(INDEX($D$133:$D$172,MATCH(C9&amp;"|"&amp;$C$5,$H$133:$H$172,0)),""),SUMIFS($E$133:$E$172,$C$133:$C$172,$C$5,$B$133:$B$172,C9)&amp;"x"&amp;IFERROR(INDEX($D$133:$D$172,MATCH(C9&amp;"|"&amp;$C$5,$H$133:$H$172,0)),"")),SUMIFS($E$133:$E$172,$C$133:$C$172,$C$5,$B$133:$B$172,C9)&amp;" vols")&amp;")")))</f>
        <v/>
      </c>
      <c r="D8" s="18" t="str">
        <f aca="false">IF(D9="","",TRIM($P$14&amp;IF(SUMIFS($E$133:$E$172,$C$133:$C$172,$C$5,$B$133:$B$172,D9)=0,""," (+"&amp;IF(COUNTIFS($C$133:$C$172,$C$5,$B$133:$B$172,D9)=1,IF(SUMIFS($E$133:$E$172,$C$133:$C$172,$C$5,$B$133:$B$172,D9)=1,IFERROR(INDEX($D$133:$D$172,MATCH(D9&amp;"|"&amp;$C$5,$H$133:$H$172,0)),""),SUMIFS($E$133:$E$172,$C$133:$C$172,$C$5,$B$133:$B$172,D9)&amp;"x"&amp;IFERROR(INDEX($D$133:$D$172,MATCH(D9&amp;"|"&amp;$C$5,$H$133:$H$172,0)),"")),SUMIFS($E$133:$E$172,$C$133:$C$172,$C$5,$B$133:$B$172,D9)&amp;" vols")&amp;")")))</f>
        <v/>
      </c>
      <c r="E8" s="18" t="str">
        <f aca="false">IF(E9="","",TRIM($Q$14&amp;IF(SUMIFS($E$133:$E$172,$C$133:$C$172,$C$5,$B$133:$B$172,E9)=0,""," (+"&amp;IF(COUNTIFS($C$133:$C$172,$C$5,$B$133:$B$172,E9)=1,IF(SUMIFS($E$133:$E$172,$C$133:$C$172,$C$5,$B$133:$B$172,E9)=1,IFERROR(INDEX($D$133:$D$172,MATCH(E9&amp;"|"&amp;$C$5,$H$133:$H$172,0)),""),SUMIFS($E$133:$E$172,$C$133:$C$172,$C$5,$B$133:$B$172,E9)&amp;"x"&amp;IFERROR(INDEX($D$133:$D$172,MATCH(E9&amp;"|"&amp;$C$5,$H$133:$H$172,0)),"")),SUMIFS($E$133:$E$172,$C$133:$C$172,$C$5,$B$133:$B$172,E9)&amp;" vols")&amp;")")))</f>
        <v/>
      </c>
      <c r="F8" s="18" t="str">
        <f aca="false">IF(F9="","",TRIM($R$14&amp;IF(SUMIFS($E$133:$E$172,$C$133:$C$172,$C$5,$B$133:$B$172,F9)=0,""," (+"&amp;IF(COUNTIFS($C$133:$C$172,$C$5,$B$133:$B$172,F9)=1,IF(SUMIFS($E$133:$E$172,$C$133:$C$172,$C$5,$B$133:$B$172,F9)=1,IFERROR(INDEX($D$133:$D$172,MATCH(F9&amp;"|"&amp;$C$5,$H$133:$H$172,0)),""),SUMIFS($E$133:$E$172,$C$133:$C$172,$C$5,$B$133:$B$172,F9)&amp;"x"&amp;IFERROR(INDEX($D$133:$D$172,MATCH(F9&amp;"|"&amp;$C$5,$H$133:$H$172,0)),"")),SUMIFS($E$133:$E$172,$C$133:$C$172,$C$5,$B$133:$B$172,F9)&amp;" vols")&amp;")")))</f>
        <v>A320</v>
      </c>
      <c r="G8" s="18" t="str">
        <f aca="false">IF(G9="","",TRIM($S$14&amp;IF(SUMIFS($E$133:$E$172,$C$133:$C$172,$C$5,$B$133:$B$172,G9)=0,""," (+"&amp;IF(COUNTIFS($C$133:$C$172,$C$5,$B$133:$B$172,G9)=1,IF(SUMIFS($E$133:$E$172,$C$133:$C$172,$C$5,$B$133:$B$172,G9)=1,IFERROR(INDEX($D$133:$D$172,MATCH(G9&amp;"|"&amp;$C$5,$H$133:$H$172,0)),""),SUMIFS($E$133:$E$172,$C$133:$C$172,$C$5,$B$133:$B$172,G9)&amp;"x"&amp;IFERROR(INDEX($D$133:$D$172,MATCH(G9&amp;"|"&amp;$C$5,$H$133:$H$172,0)),"")),SUMIFS($E$133:$E$172,$C$133:$C$172,$C$5,$B$133:$B$172,G9)&amp;" vols")&amp;")")))</f>
        <v/>
      </c>
      <c r="H8" s="18" t="str">
        <f aca="false">IF(H9="","",TRIM($T$14&amp;IF(SUMIFS($E$133:$E$172,$C$133:$C$172,$C$5,$B$133:$B$172,H9)=0,""," (+"&amp;IF(COUNTIFS($C$133:$C$172,$C$5,$B$133:$B$172,H9)=1,IF(SUMIFS($E$133:$E$172,$C$133:$C$172,$C$5,$B$133:$B$172,H9)=1,IFERROR(INDEX($D$133:$D$172,MATCH(H9&amp;"|"&amp;$C$5,$H$133:$H$172,0)),""),SUMIFS($E$133:$E$172,$C$133:$C$172,$C$5,$B$133:$B$172,H9)&amp;"x"&amp;IFERROR(INDEX($D$133:$D$172,MATCH(H9&amp;"|"&amp;$C$5,$H$133:$H$172,0)),"")),SUMIFS($E$133:$E$172,$C$133:$C$172,$C$5,$B$133:$B$172,H9)&amp;" vols")&amp;")")))</f>
        <v>A320</v>
      </c>
      <c r="I8" s="18" t="str">
        <f aca="false">IF(I9="","",TRIM($U$14&amp;IF(SUMIFS($E$133:$E$172,$C$133:$C$172,$C$5,$B$133:$B$172,I9)=0,""," (+"&amp;IF(COUNTIFS($C$133:$C$172,$C$5,$B$133:$B$172,I9)=1,IF(SUMIFS($E$133:$E$172,$C$133:$C$172,$C$5,$B$133:$B$172,I9)=1,IFERROR(INDEX($D$133:$D$172,MATCH(I9&amp;"|"&amp;$C$5,$H$133:$H$172,0)),""),SUMIFS($E$133:$E$172,$C$133:$C$172,$C$5,$B$133:$B$172,I9)&amp;"x"&amp;IFERROR(INDEX($D$133:$D$172,MATCH(I9&amp;"|"&amp;$C$5,$H$133:$H$172,0)),"")),SUMIFS($E$133:$E$172,$C$133:$C$172,$C$5,$B$133:$B$172,I9)&amp;" vols")&amp;")")))</f>
        <v/>
      </c>
      <c r="N8" s="8" t="s">
        <v>39</v>
      </c>
      <c r="O8" s="16" t="str">
        <f aca="false">IFERROR(INDEX($C$25:$C$36,MATCH($C$5,$B$25:$B$36,0)),"")</f>
        <v>A320(3)</v>
      </c>
      <c r="W8" s="10" t="s">
        <v>40</v>
      </c>
      <c r="X8" s="11" t="n">
        <f aca="false">DATE(2027,8,1)</f>
        <v>46600</v>
      </c>
      <c r="Z8" s="12" t="s">
        <v>41</v>
      </c>
      <c r="AA8" s="10" t="s">
        <v>36</v>
      </c>
    </row>
    <row r="9" customFormat="false" ht="13.5" hidden="false" customHeight="true" outlineLevel="0" collapsed="false">
      <c r="B9" s="19" t="str">
        <f aca="false">IF(COUNT(C9:I9)=0,"","du "&amp;TEXT(MIN(C9:I9),"DD/MM")&amp;" au "&amp;TEXT(MAX(C9:I9),"DD/MM"))</f>
        <v>du 01/04 au 04/04</v>
      </c>
      <c r="C9" s="20" t="str">
        <f aca="false">IF(OR($O$6+0&lt;$O$4,$O$6+0&gt;$O$5),"",$O$6+0)</f>
        <v/>
      </c>
      <c r="D9" s="20" t="str">
        <f aca="false">IF(OR($O$6+1&lt;$O$4,$O$6+1&gt;$O$5),"",$O$6+1)</f>
        <v/>
      </c>
      <c r="E9" s="20" t="str">
        <f aca="false">IF(OR($O$6+2&lt;$O$4,$O$6+2&gt;$O$5),"",$O$6+2)</f>
        <v/>
      </c>
      <c r="F9" s="20" t="n">
        <f aca="false">IF(OR($O$6+3&lt;$O$4,$O$6+3&gt;$O$5),"",$O$6+3)</f>
        <v>46478</v>
      </c>
      <c r="G9" s="20" t="n">
        <f aca="false">IF(OR($O$6+4&lt;$O$4,$O$6+4&gt;$O$5),"",$O$6+4)</f>
        <v>46479</v>
      </c>
      <c r="H9" s="20" t="n">
        <f aca="false">IF(OR($O$6+5&lt;$O$4,$O$6+5&gt;$O$5),"",$O$6+5)</f>
        <v>46480</v>
      </c>
      <c r="I9" s="20" t="n">
        <f aca="false">IF(OR($O$6+6&lt;$O$4,$O$6+6&gt;$O$5),"",$O$6+6)</f>
        <v>46481</v>
      </c>
      <c r="N9" s="8" t="s">
        <v>42</v>
      </c>
      <c r="O9" s="21" t="n">
        <f aca="false">IFERROR(INDEX($E$25:$E$36,MATCH($C$5,$B$25:$B$36,0)),"")</f>
        <v>3</v>
      </c>
      <c r="W9" s="10" t="s">
        <v>43</v>
      </c>
      <c r="X9" s="11" t="n">
        <f aca="false">DATE(2027,9,1)</f>
        <v>46631</v>
      </c>
      <c r="Z9" s="12" t="s">
        <v>16</v>
      </c>
      <c r="AA9" s="10" t="s">
        <v>40</v>
      </c>
    </row>
    <row r="10" customFormat="false" ht="21.75" hidden="false" customHeight="true" outlineLevel="0" collapsed="false">
      <c r="B10" s="17" t="s">
        <v>44</v>
      </c>
      <c r="C10" s="18" t="str">
        <f aca="false">IF(C11="","",TRIM($O$14&amp;IF(SUMIFS($E$133:$E$172,$C$133:$C$172,$C$5,$B$133:$B$172,C11)=0,""," (+"&amp;IF(COUNTIFS($C$133:$C$172,$C$5,$B$133:$B$172,C11)=1,IF(SUMIFS($E$133:$E$172,$C$133:$C$172,$C$5,$B$133:$B$172,C11)=1,IFERROR(INDEX($D$133:$D$172,MATCH(C11&amp;"|"&amp;$C$5,$H$133:$H$172,0)),""),SUMIFS($E$133:$E$172,$C$133:$C$172,$C$5,$B$133:$B$172,C11)&amp;"x"&amp;IFERROR(INDEX($D$133:$D$172,MATCH(C11&amp;"|"&amp;$C$5,$H$133:$H$172,0)),"")),SUMIFS($E$133:$E$172,$C$133:$C$172,$C$5,$B$133:$B$172,C11)&amp;" vols")&amp;")")))</f>
        <v>A320</v>
      </c>
      <c r="D10" s="18" t="str">
        <f aca="false">IF(D11="","",TRIM($P$14&amp;IF(SUMIFS($E$133:$E$172,$C$133:$C$172,$C$5,$B$133:$B$172,D11)=0,""," (+"&amp;IF(COUNTIFS($C$133:$C$172,$C$5,$B$133:$B$172,D11)=1,IF(SUMIFS($E$133:$E$172,$C$133:$C$172,$C$5,$B$133:$B$172,D11)=1,IFERROR(INDEX($D$133:$D$172,MATCH(D11&amp;"|"&amp;$C$5,$H$133:$H$172,0)),""),SUMIFS($E$133:$E$172,$C$133:$C$172,$C$5,$B$133:$B$172,D11)&amp;"x"&amp;IFERROR(INDEX($D$133:$D$172,MATCH(D11&amp;"|"&amp;$C$5,$H$133:$H$172,0)),"")),SUMIFS($E$133:$E$172,$C$133:$C$172,$C$5,$B$133:$B$172,D11)&amp;" vols")&amp;")")))</f>
        <v/>
      </c>
      <c r="E10" s="18" t="str">
        <f aca="false">IF(E11="","",TRIM($Q$14&amp;IF(SUMIFS($E$133:$E$172,$C$133:$C$172,$C$5,$B$133:$B$172,E11)=0,""," (+"&amp;IF(COUNTIFS($C$133:$C$172,$C$5,$B$133:$B$172,E11)=1,IF(SUMIFS($E$133:$E$172,$C$133:$C$172,$C$5,$B$133:$B$172,E11)=1,IFERROR(INDEX($D$133:$D$172,MATCH(E11&amp;"|"&amp;$C$5,$H$133:$H$172,0)),""),SUMIFS($E$133:$E$172,$C$133:$C$172,$C$5,$B$133:$B$172,E11)&amp;"x"&amp;IFERROR(INDEX($D$133:$D$172,MATCH(E11&amp;"|"&amp;$C$5,$H$133:$H$172,0)),"")),SUMIFS($E$133:$E$172,$C$133:$C$172,$C$5,$B$133:$B$172,E11)&amp;" vols")&amp;")")))</f>
        <v>(+A320)</v>
      </c>
      <c r="F10" s="18" t="str">
        <f aca="false">IF(F11="","",TRIM($R$14&amp;IF(SUMIFS($E$133:$E$172,$C$133:$C$172,$C$5,$B$133:$B$172,F11)=0,""," (+"&amp;IF(COUNTIFS($C$133:$C$172,$C$5,$B$133:$B$172,F11)=1,IF(SUMIFS($E$133:$E$172,$C$133:$C$172,$C$5,$B$133:$B$172,F11)=1,IFERROR(INDEX($D$133:$D$172,MATCH(F11&amp;"|"&amp;$C$5,$H$133:$H$172,0)),""),SUMIFS($E$133:$E$172,$C$133:$C$172,$C$5,$B$133:$B$172,F11)&amp;"x"&amp;IFERROR(INDEX($D$133:$D$172,MATCH(F11&amp;"|"&amp;$C$5,$H$133:$H$172,0)),"")),SUMIFS($E$133:$E$172,$C$133:$C$172,$C$5,$B$133:$B$172,F11)&amp;" vols")&amp;")")))</f>
        <v>A320</v>
      </c>
      <c r="G10" s="18" t="str">
        <f aca="false">IF(G11="","",TRIM($S$14&amp;IF(SUMIFS($E$133:$E$172,$C$133:$C$172,$C$5,$B$133:$B$172,G11)=0,""," (+"&amp;IF(COUNTIFS($C$133:$C$172,$C$5,$B$133:$B$172,G11)=1,IF(SUMIFS($E$133:$E$172,$C$133:$C$172,$C$5,$B$133:$B$172,G11)=1,IFERROR(INDEX($D$133:$D$172,MATCH(G11&amp;"|"&amp;$C$5,$H$133:$H$172,0)),""),SUMIFS($E$133:$E$172,$C$133:$C$172,$C$5,$B$133:$B$172,G11)&amp;"x"&amp;IFERROR(INDEX($D$133:$D$172,MATCH(G11&amp;"|"&amp;$C$5,$H$133:$H$172,0)),"")),SUMIFS($E$133:$E$172,$C$133:$C$172,$C$5,$B$133:$B$172,G11)&amp;" vols")&amp;")")))</f>
        <v/>
      </c>
      <c r="H10" s="18" t="str">
        <f aca="false">IF(H11="","",TRIM($T$14&amp;IF(SUMIFS($E$133:$E$172,$C$133:$C$172,$C$5,$B$133:$B$172,H11)=0,""," (+"&amp;IF(COUNTIFS($C$133:$C$172,$C$5,$B$133:$B$172,H11)=1,IF(SUMIFS($E$133:$E$172,$C$133:$C$172,$C$5,$B$133:$B$172,H11)=1,IFERROR(INDEX($D$133:$D$172,MATCH(H11&amp;"|"&amp;$C$5,$H$133:$H$172,0)),""),SUMIFS($E$133:$E$172,$C$133:$C$172,$C$5,$B$133:$B$172,H11)&amp;"x"&amp;IFERROR(INDEX($D$133:$D$172,MATCH(H11&amp;"|"&amp;$C$5,$H$133:$H$172,0)),"")),SUMIFS($E$133:$E$172,$C$133:$C$172,$C$5,$B$133:$B$172,H11)&amp;" vols")&amp;")")))</f>
        <v>A320 (+A320)</v>
      </c>
      <c r="I10" s="18" t="str">
        <f aca="false">IF(I11="","",TRIM($U$14&amp;IF(SUMIFS($E$133:$E$172,$C$133:$C$172,$C$5,$B$133:$B$172,I11)=0,""," (+"&amp;IF(COUNTIFS($C$133:$C$172,$C$5,$B$133:$B$172,I11)=1,IF(SUMIFS($E$133:$E$172,$C$133:$C$172,$C$5,$B$133:$B$172,I11)=1,IFERROR(INDEX($D$133:$D$172,MATCH(I11&amp;"|"&amp;$C$5,$H$133:$H$172,0)),""),SUMIFS($E$133:$E$172,$C$133:$C$172,$C$5,$B$133:$B$172,I11)&amp;"x"&amp;IFERROR(INDEX($D$133:$D$172,MATCH(I11&amp;"|"&amp;$C$5,$H$133:$H$172,0)),"")),SUMIFS($E$133:$E$172,$C$133:$C$172,$C$5,$B$133:$B$172,I11)&amp;" vols")&amp;")")))</f>
        <v/>
      </c>
      <c r="N10" s="8" t="s">
        <v>45</v>
      </c>
      <c r="O10" s="21" t="n">
        <f aca="false">IFERROR(INDEX($G$25:$G$36,MATCH($C$5,$B$25:$B$36,0)),"")</f>
        <v>15</v>
      </c>
      <c r="W10" s="10" t="s">
        <v>46</v>
      </c>
      <c r="X10" s="11" t="n">
        <f aca="false">DATE(2027,10,1)</f>
        <v>46661</v>
      </c>
      <c r="Z10" s="12" t="s">
        <v>47</v>
      </c>
      <c r="AA10" s="10" t="s">
        <v>43</v>
      </c>
    </row>
    <row r="11" customFormat="false" ht="13.5" hidden="false" customHeight="true" outlineLevel="0" collapsed="false">
      <c r="B11" s="19" t="str">
        <f aca="false">IF(COUNT(C11:I11)=0,"","du "&amp;TEXT(MIN(C11:I11),"DD/MM")&amp;" au "&amp;TEXT(MAX(C11:I11),"DD/MM"))</f>
        <v>du 05/04 au 11/04</v>
      </c>
      <c r="C11" s="20" t="n">
        <f aca="false">IF(OR($O$6+7&lt;$O$4,$O$6+7&gt;$O$5),"",$O$6+7)</f>
        <v>46482</v>
      </c>
      <c r="D11" s="20" t="n">
        <f aca="false">IF(OR($O$6+8&lt;$O$4,$O$6+8&gt;$O$5),"",$O$6+8)</f>
        <v>46483</v>
      </c>
      <c r="E11" s="20" t="n">
        <f aca="false">IF(OR($O$6+9&lt;$O$4,$O$6+9&gt;$O$5),"",$O$6+9)</f>
        <v>46484</v>
      </c>
      <c r="F11" s="20" t="n">
        <f aca="false">IF(OR($O$6+10&lt;$O$4,$O$6+10&gt;$O$5),"",$O$6+10)</f>
        <v>46485</v>
      </c>
      <c r="G11" s="20" t="n">
        <f aca="false">IF(OR($O$6+11&lt;$O$4,$O$6+11&gt;$O$5),"",$O$6+11)</f>
        <v>46486</v>
      </c>
      <c r="H11" s="20" t="n">
        <f aca="false">IF(OR($O$6+12&lt;$O$4,$O$6+12&gt;$O$5),"",$O$6+12)</f>
        <v>46487</v>
      </c>
      <c r="I11" s="20" t="n">
        <f aca="false">IF(OR($O$6+13&lt;$O$4,$O$6+13&gt;$O$5),"",$O$6+13)</f>
        <v>46488</v>
      </c>
      <c r="W11" s="10" t="s">
        <v>48</v>
      </c>
      <c r="X11" s="11" t="n">
        <f aca="false">DATE(2027,11,1)</f>
        <v>46692</v>
      </c>
      <c r="Z11" s="12" t="s">
        <v>49</v>
      </c>
      <c r="AA11" s="10" t="s">
        <v>46</v>
      </c>
    </row>
    <row r="12" customFormat="false" ht="21.75" hidden="false" customHeight="true" outlineLevel="0" collapsed="false">
      <c r="B12" s="17" t="s">
        <v>50</v>
      </c>
      <c r="C12" s="18" t="str">
        <f aca="false">IF(C13="","",TRIM($O$14&amp;IF(SUMIFS($E$133:$E$172,$C$133:$C$172,$C$5,$B$133:$B$172,C13)=0,""," (+"&amp;IF(COUNTIFS($C$133:$C$172,$C$5,$B$133:$B$172,C13)=1,IF(SUMIFS($E$133:$E$172,$C$133:$C$172,$C$5,$B$133:$B$172,C13)=1,IFERROR(INDEX($D$133:$D$172,MATCH(C13&amp;"|"&amp;$C$5,$H$133:$H$172,0)),""),SUMIFS($E$133:$E$172,$C$133:$C$172,$C$5,$B$133:$B$172,C13)&amp;"x"&amp;IFERROR(INDEX($D$133:$D$172,MATCH(C13&amp;"|"&amp;$C$5,$H$133:$H$172,0)),"")),SUMIFS($E$133:$E$172,$C$133:$C$172,$C$5,$B$133:$B$172,C13)&amp;" vols")&amp;")")))</f>
        <v>A320</v>
      </c>
      <c r="D12" s="18" t="str">
        <f aca="false">IF(D13="","",TRIM($P$14&amp;IF(SUMIFS($E$133:$E$172,$C$133:$C$172,$C$5,$B$133:$B$172,D13)=0,""," (+"&amp;IF(COUNTIFS($C$133:$C$172,$C$5,$B$133:$B$172,D13)=1,IF(SUMIFS($E$133:$E$172,$C$133:$C$172,$C$5,$B$133:$B$172,D13)=1,IFERROR(INDEX($D$133:$D$172,MATCH(D13&amp;"|"&amp;$C$5,$H$133:$H$172,0)),""),SUMIFS($E$133:$E$172,$C$133:$C$172,$C$5,$B$133:$B$172,D13)&amp;"x"&amp;IFERROR(INDEX($D$133:$D$172,MATCH(D13&amp;"|"&amp;$C$5,$H$133:$H$172,0)),"")),SUMIFS($E$133:$E$172,$C$133:$C$172,$C$5,$B$133:$B$172,D13)&amp;" vols")&amp;")")))</f>
        <v/>
      </c>
      <c r="E12" s="18" t="str">
        <f aca="false">IF(E13="","",TRIM($Q$14&amp;IF(SUMIFS($E$133:$E$172,$C$133:$C$172,$C$5,$B$133:$B$172,E13)=0,""," (+"&amp;IF(COUNTIFS($C$133:$C$172,$C$5,$B$133:$B$172,E13)=1,IF(SUMIFS($E$133:$E$172,$C$133:$C$172,$C$5,$B$133:$B$172,E13)=1,IFERROR(INDEX($D$133:$D$172,MATCH(E13&amp;"|"&amp;$C$5,$H$133:$H$172,0)),""),SUMIFS($E$133:$E$172,$C$133:$C$172,$C$5,$B$133:$B$172,E13)&amp;"x"&amp;IFERROR(INDEX($D$133:$D$172,MATCH(E13&amp;"|"&amp;$C$5,$H$133:$H$172,0)),"")),SUMIFS($E$133:$E$172,$C$133:$C$172,$C$5,$B$133:$B$172,E13)&amp;" vols")&amp;")")))</f>
        <v/>
      </c>
      <c r="F12" s="18" t="str">
        <f aca="false">IF(F13="","",TRIM($R$14&amp;IF(SUMIFS($E$133:$E$172,$C$133:$C$172,$C$5,$B$133:$B$172,F13)=0,""," (+"&amp;IF(COUNTIFS($C$133:$C$172,$C$5,$B$133:$B$172,F13)=1,IF(SUMIFS($E$133:$E$172,$C$133:$C$172,$C$5,$B$133:$B$172,F13)=1,IFERROR(INDEX($D$133:$D$172,MATCH(F13&amp;"|"&amp;$C$5,$H$133:$H$172,0)),""),SUMIFS($E$133:$E$172,$C$133:$C$172,$C$5,$B$133:$B$172,F13)&amp;"x"&amp;IFERROR(INDEX($D$133:$D$172,MATCH(F13&amp;"|"&amp;$C$5,$H$133:$H$172,0)),"")),SUMIFS($E$133:$E$172,$C$133:$C$172,$C$5,$B$133:$B$172,F13)&amp;" vols")&amp;")")))</f>
        <v>A320</v>
      </c>
      <c r="G12" s="18" t="str">
        <f aca="false">IF(G13="","",TRIM($S$14&amp;IF(SUMIFS($E$133:$E$172,$C$133:$C$172,$C$5,$B$133:$B$172,G13)=0,""," (+"&amp;IF(COUNTIFS($C$133:$C$172,$C$5,$B$133:$B$172,G13)=1,IF(SUMIFS($E$133:$E$172,$C$133:$C$172,$C$5,$B$133:$B$172,G13)=1,IFERROR(INDEX($D$133:$D$172,MATCH(G13&amp;"|"&amp;$C$5,$H$133:$H$172,0)),""),SUMIFS($E$133:$E$172,$C$133:$C$172,$C$5,$B$133:$B$172,G13)&amp;"x"&amp;IFERROR(INDEX($D$133:$D$172,MATCH(G13&amp;"|"&amp;$C$5,$H$133:$H$172,0)),"")),SUMIFS($E$133:$E$172,$C$133:$C$172,$C$5,$B$133:$B$172,G13)&amp;" vols")&amp;")")))</f>
        <v/>
      </c>
      <c r="H12" s="18" t="str">
        <f aca="false">IF(H13="","",TRIM($T$14&amp;IF(SUMIFS($E$133:$E$172,$C$133:$C$172,$C$5,$B$133:$B$172,H13)=0,""," (+"&amp;IF(COUNTIFS($C$133:$C$172,$C$5,$B$133:$B$172,H13)=1,IF(SUMIFS($E$133:$E$172,$C$133:$C$172,$C$5,$B$133:$B$172,H13)=1,IFERROR(INDEX($D$133:$D$172,MATCH(H13&amp;"|"&amp;$C$5,$H$133:$H$172,0)),""),SUMIFS($E$133:$E$172,$C$133:$C$172,$C$5,$B$133:$B$172,H13)&amp;"x"&amp;IFERROR(INDEX($D$133:$D$172,MATCH(H13&amp;"|"&amp;$C$5,$H$133:$H$172,0)),"")),SUMIFS($E$133:$E$172,$C$133:$C$172,$C$5,$B$133:$B$172,H13)&amp;" vols")&amp;")")))</f>
        <v>A320</v>
      </c>
      <c r="I12" s="18" t="str">
        <f aca="false">IF(I13="","",TRIM($U$14&amp;IF(SUMIFS($E$133:$E$172,$C$133:$C$172,$C$5,$B$133:$B$172,I13)=0,""," (+"&amp;IF(COUNTIFS($C$133:$C$172,$C$5,$B$133:$B$172,I13)=1,IF(SUMIFS($E$133:$E$172,$C$133:$C$172,$C$5,$B$133:$B$172,I13)=1,IFERROR(INDEX($D$133:$D$172,MATCH(I13&amp;"|"&amp;$C$5,$H$133:$H$172,0)),""),SUMIFS($E$133:$E$172,$C$133:$C$172,$C$5,$B$133:$B$172,I13)&amp;"x"&amp;IFERROR(INDEX($D$133:$D$172,MATCH(I13&amp;"|"&amp;$C$5,$H$133:$H$172,0)),"")),SUMIFS($E$133:$E$172,$C$133:$C$172,$C$5,$B$133:$B$172,I13)&amp;" vols")&amp;")")))</f>
        <v/>
      </c>
      <c r="N12" s="22" t="s">
        <v>51</v>
      </c>
      <c r="O12" s="22"/>
      <c r="P12" s="22"/>
      <c r="Q12" s="22"/>
      <c r="R12" s="22"/>
      <c r="S12" s="22"/>
      <c r="T12" s="22"/>
      <c r="U12" s="22"/>
      <c r="W12" s="10" t="s">
        <v>52</v>
      </c>
      <c r="X12" s="11" t="n">
        <f aca="false">DATE(2027,12,1)</f>
        <v>46722</v>
      </c>
      <c r="Z12" s="12" t="s">
        <v>53</v>
      </c>
      <c r="AA12" s="10" t="s">
        <v>48</v>
      </c>
    </row>
    <row r="13" customFormat="false" ht="13.5" hidden="false" customHeight="true" outlineLevel="0" collapsed="false">
      <c r="B13" s="19" t="str">
        <f aca="false">IF(COUNT(C13:I13)=0,"","du "&amp;TEXT(MIN(C13:I13),"DD/MM")&amp;" au "&amp;TEXT(MAX(C13:I13),"DD/MM"))</f>
        <v>du 12/04 au 18/04</v>
      </c>
      <c r="C13" s="20" t="n">
        <f aca="false">IF(OR($O$6+14&lt;$O$4,$O$6+14&gt;$O$5),"",$O$6+14)</f>
        <v>46489</v>
      </c>
      <c r="D13" s="20" t="n">
        <f aca="false">IF(OR($O$6+15&lt;$O$4,$O$6+15&gt;$O$5),"",$O$6+15)</f>
        <v>46490</v>
      </c>
      <c r="E13" s="20" t="n">
        <f aca="false">IF(OR($O$6+16&lt;$O$4,$O$6+16&gt;$O$5),"",$O$6+16)</f>
        <v>46491</v>
      </c>
      <c r="F13" s="20" t="n">
        <f aca="false">IF(OR($O$6+17&lt;$O$4,$O$6+17&gt;$O$5),"",$O$6+17)</f>
        <v>46492</v>
      </c>
      <c r="G13" s="20" t="n">
        <f aca="false">IF(OR($O$6+18&lt;$O$4,$O$6+18&gt;$O$5),"",$O$6+18)</f>
        <v>46493</v>
      </c>
      <c r="H13" s="20" t="n">
        <f aca="false">IF(OR($O$6+19&lt;$O$4,$O$6+19&gt;$O$5),"",$O$6+19)</f>
        <v>46494</v>
      </c>
      <c r="I13" s="20" t="n">
        <f aca="false">IF(OR($O$6+20&lt;$O$4,$O$6+20&gt;$O$5),"",$O$6+20)</f>
        <v>46495</v>
      </c>
      <c r="N13" s="23" t="s">
        <v>54</v>
      </c>
      <c r="O13" s="23" t="s">
        <v>55</v>
      </c>
      <c r="P13" s="23" t="s">
        <v>56</v>
      </c>
      <c r="Q13" s="23" t="s">
        <v>57</v>
      </c>
      <c r="R13" s="23" t="s">
        <v>58</v>
      </c>
      <c r="S13" s="23" t="s">
        <v>59</v>
      </c>
      <c r="T13" s="23" t="s">
        <v>60</v>
      </c>
      <c r="U13" s="23" t="s">
        <v>61</v>
      </c>
      <c r="W13" s="10" t="s">
        <v>62</v>
      </c>
      <c r="X13" s="11" t="n">
        <f aca="false">DATE(2028,1,1)</f>
        <v>46753</v>
      </c>
      <c r="Z13" s="12" t="s">
        <v>63</v>
      </c>
      <c r="AA13" s="10" t="s">
        <v>52</v>
      </c>
    </row>
    <row r="14" customFormat="false" ht="21.75" hidden="false" customHeight="true" outlineLevel="0" collapsed="false">
      <c r="B14" s="17" t="s">
        <v>64</v>
      </c>
      <c r="C14" s="18" t="str">
        <f aca="false">IF(C15="","",TRIM($O$14&amp;IF(SUMIFS($E$133:$E$172,$C$133:$C$172,$C$5,$B$133:$B$172,C15)=0,""," (+"&amp;IF(COUNTIFS($C$133:$C$172,$C$5,$B$133:$B$172,C15)=1,IF(SUMIFS($E$133:$E$172,$C$133:$C$172,$C$5,$B$133:$B$172,C15)=1,IFERROR(INDEX($D$133:$D$172,MATCH(C15&amp;"|"&amp;$C$5,$H$133:$H$172,0)),""),SUMIFS($E$133:$E$172,$C$133:$C$172,$C$5,$B$133:$B$172,C15)&amp;"x"&amp;IFERROR(INDEX($D$133:$D$172,MATCH(C15&amp;"|"&amp;$C$5,$H$133:$H$172,0)),"")),SUMIFS($E$133:$E$172,$C$133:$C$172,$C$5,$B$133:$B$172,C15)&amp;" vols")&amp;")")))</f>
        <v>A320</v>
      </c>
      <c r="D14" s="18" t="str">
        <f aca="false">IF(D15="","",TRIM($P$14&amp;IF(SUMIFS($E$133:$E$172,$C$133:$C$172,$C$5,$B$133:$B$172,D15)=0,""," (+"&amp;IF(COUNTIFS($C$133:$C$172,$C$5,$B$133:$B$172,D15)=1,IF(SUMIFS($E$133:$E$172,$C$133:$C$172,$C$5,$B$133:$B$172,D15)=1,IFERROR(INDEX($D$133:$D$172,MATCH(D15&amp;"|"&amp;$C$5,$H$133:$H$172,0)),""),SUMIFS($E$133:$E$172,$C$133:$C$172,$C$5,$B$133:$B$172,D15)&amp;"x"&amp;IFERROR(INDEX($D$133:$D$172,MATCH(D15&amp;"|"&amp;$C$5,$H$133:$H$172,0)),"")),SUMIFS($E$133:$E$172,$C$133:$C$172,$C$5,$B$133:$B$172,D15)&amp;" vols")&amp;")")))</f>
        <v/>
      </c>
      <c r="E14" s="18" t="str">
        <f aca="false">IF(E15="","",TRIM($Q$14&amp;IF(SUMIFS($E$133:$E$172,$C$133:$C$172,$C$5,$B$133:$B$172,E15)=0,""," (+"&amp;IF(COUNTIFS($C$133:$C$172,$C$5,$B$133:$B$172,E15)=1,IF(SUMIFS($E$133:$E$172,$C$133:$C$172,$C$5,$B$133:$B$172,E15)=1,IFERROR(INDEX($D$133:$D$172,MATCH(E15&amp;"|"&amp;$C$5,$H$133:$H$172,0)),""),SUMIFS($E$133:$E$172,$C$133:$C$172,$C$5,$B$133:$B$172,E15)&amp;"x"&amp;IFERROR(INDEX($D$133:$D$172,MATCH(E15&amp;"|"&amp;$C$5,$H$133:$H$172,0)),"")),SUMIFS($E$133:$E$172,$C$133:$C$172,$C$5,$B$133:$B$172,E15)&amp;" vols")&amp;")")))</f>
        <v/>
      </c>
      <c r="F14" s="18" t="str">
        <f aca="false">IF(F15="","",TRIM($R$14&amp;IF(SUMIFS($E$133:$E$172,$C$133:$C$172,$C$5,$B$133:$B$172,F15)=0,""," (+"&amp;IF(COUNTIFS($C$133:$C$172,$C$5,$B$133:$B$172,F15)=1,IF(SUMIFS($E$133:$E$172,$C$133:$C$172,$C$5,$B$133:$B$172,F15)=1,IFERROR(INDEX($D$133:$D$172,MATCH(F15&amp;"|"&amp;$C$5,$H$133:$H$172,0)),""),SUMIFS($E$133:$E$172,$C$133:$C$172,$C$5,$B$133:$B$172,F15)&amp;"x"&amp;IFERROR(INDEX($D$133:$D$172,MATCH(F15&amp;"|"&amp;$C$5,$H$133:$H$172,0)),"")),SUMIFS($E$133:$E$172,$C$133:$C$172,$C$5,$B$133:$B$172,F15)&amp;" vols")&amp;")")))</f>
        <v>A320</v>
      </c>
      <c r="G14" s="18" t="str">
        <f aca="false">IF(G15="","",TRIM($S$14&amp;IF(SUMIFS($E$133:$E$172,$C$133:$C$172,$C$5,$B$133:$B$172,G15)=0,""," (+"&amp;IF(COUNTIFS($C$133:$C$172,$C$5,$B$133:$B$172,G15)=1,IF(SUMIFS($E$133:$E$172,$C$133:$C$172,$C$5,$B$133:$B$172,G15)=1,IFERROR(INDEX($D$133:$D$172,MATCH(G15&amp;"|"&amp;$C$5,$H$133:$H$172,0)),""),SUMIFS($E$133:$E$172,$C$133:$C$172,$C$5,$B$133:$B$172,G15)&amp;"x"&amp;IFERROR(INDEX($D$133:$D$172,MATCH(G15&amp;"|"&amp;$C$5,$H$133:$H$172,0)),"")),SUMIFS($E$133:$E$172,$C$133:$C$172,$C$5,$B$133:$B$172,G15)&amp;" vols")&amp;")")))</f>
        <v/>
      </c>
      <c r="H14" s="18" t="str">
        <f aca="false">IF(H15="","",TRIM($T$14&amp;IF(SUMIFS($E$133:$E$172,$C$133:$C$172,$C$5,$B$133:$B$172,H15)=0,""," (+"&amp;IF(COUNTIFS($C$133:$C$172,$C$5,$B$133:$B$172,H15)=1,IF(SUMIFS($E$133:$E$172,$C$133:$C$172,$C$5,$B$133:$B$172,H15)=1,IFERROR(INDEX($D$133:$D$172,MATCH(H15&amp;"|"&amp;$C$5,$H$133:$H$172,0)),""),SUMIFS($E$133:$E$172,$C$133:$C$172,$C$5,$B$133:$B$172,H15)&amp;"x"&amp;IFERROR(INDEX($D$133:$D$172,MATCH(H15&amp;"|"&amp;$C$5,$H$133:$H$172,0)),"")),SUMIFS($E$133:$E$172,$C$133:$C$172,$C$5,$B$133:$B$172,H15)&amp;" vols")&amp;")")))</f>
        <v>A320</v>
      </c>
      <c r="I14" s="18" t="str">
        <f aca="false">IF(I15="","",TRIM($U$14&amp;IF(SUMIFS($E$133:$E$172,$C$133:$C$172,$C$5,$B$133:$B$172,I15)=0,""," (+"&amp;IF(COUNTIFS($C$133:$C$172,$C$5,$B$133:$B$172,I15)=1,IF(SUMIFS($E$133:$E$172,$C$133:$C$172,$C$5,$B$133:$B$172,I15)=1,IFERROR(INDEX($D$133:$D$172,MATCH(I15&amp;"|"&amp;$C$5,$H$133:$H$172,0)),""),SUMIFS($E$133:$E$172,$C$133:$C$172,$C$5,$B$133:$B$172,I15)&amp;"x"&amp;IFERROR(INDEX($D$133:$D$172,MATCH(I15&amp;"|"&amp;$C$5,$H$133:$H$172,0)),"")),SUMIFS($E$133:$E$172,$C$133:$C$172,$C$5,$B$133:$B$172,I15)&amp;" vols")&amp;")")))</f>
        <v/>
      </c>
      <c r="N14" s="24" t="s">
        <v>65</v>
      </c>
      <c r="O14" s="16" t="str">
        <f aca="false">IF(O$15=0,"",IF(O$15=1,"77W",O$15&amp;"x77W"))&amp;IF(O$16=0,"",IF(O$15&gt;0,"/","")&amp;IF(O$16=1,"778",O$16&amp;"x778"))&amp;IF(O$17=0,"",IF(O$15+O$16&gt;0,"/","")&amp;IF(O$17=1,"A320",O$17&amp;"xA320"))</f>
        <v>A320</v>
      </c>
      <c r="P14" s="16" t="str">
        <f aca="false">IF(P$15=0,"",IF(P$15=1,"77W",P$15&amp;"x77W"))&amp;IF(P$16=0,"",IF(P$15&gt;0,"/","")&amp;IF(P$16=1,"778",P$16&amp;"x778"))&amp;IF(P$17=0,"",IF(P$15+P$16&gt;0,"/","")&amp;IF(P$17=1,"A320",P$17&amp;"xA320"))</f>
        <v/>
      </c>
      <c r="Q14" s="16" t="str">
        <f aca="false">IF(Q$15=0,"",IF(Q$15=1,"77W",Q$15&amp;"x77W"))&amp;IF(Q$16=0,"",IF(Q$15&gt;0,"/","")&amp;IF(Q$16=1,"778",Q$16&amp;"x778"))&amp;IF(Q$17=0,"",IF(Q$15+Q$16&gt;0,"/","")&amp;IF(Q$17=1,"A320",Q$17&amp;"xA320"))</f>
        <v/>
      </c>
      <c r="R14" s="16" t="str">
        <f aca="false">IF(R$15=0,"",IF(R$15=1,"77W",R$15&amp;"x77W"))&amp;IF(R$16=0,"",IF(R$15&gt;0,"/","")&amp;IF(R$16=1,"778",R$16&amp;"x778"))&amp;IF(R$17=0,"",IF(R$15+R$16&gt;0,"/","")&amp;IF(R$17=1,"A320",R$17&amp;"xA320"))</f>
        <v>A320</v>
      </c>
      <c r="S14" s="16" t="str">
        <f aca="false">IF(S$15=0,"",IF(S$15=1,"77W",S$15&amp;"x77W"))&amp;IF(S$16=0,"",IF(S$15&gt;0,"/","")&amp;IF(S$16=1,"778",S$16&amp;"x778"))&amp;IF(S$17=0,"",IF(S$15+S$16&gt;0,"/","")&amp;IF(S$17=1,"A320",S$17&amp;"xA320"))</f>
        <v/>
      </c>
      <c r="T14" s="16" t="str">
        <f aca="false">IF(T$15=0,"",IF(T$15=1,"77W",T$15&amp;"x77W"))&amp;IF(T$16=0,"",IF(T$15&gt;0,"/","")&amp;IF(T$16=1,"778",T$16&amp;"x778"))&amp;IF(T$17=0,"",IF(T$15+T$16&gt;0,"/","")&amp;IF(T$17=1,"A320",T$17&amp;"xA320"))</f>
        <v>A320</v>
      </c>
      <c r="U14" s="16" t="str">
        <f aca="false">IF(U$15=0,"",IF(U$15=1,"77W",U$15&amp;"x77W"))&amp;IF(U$16=0,"",IF(U$15&gt;0,"/","")&amp;IF(U$16=1,"778",U$16&amp;"x778"))&amp;IF(U$17=0,"",IF(U$15+U$16&gt;0,"/","")&amp;IF(U$17=1,"A320",U$17&amp;"xA320"))</f>
        <v/>
      </c>
      <c r="W14" s="10" t="s">
        <v>66</v>
      </c>
      <c r="X14" s="11" t="n">
        <f aca="false">DATE(2028,2,1)</f>
        <v>46784</v>
      </c>
      <c r="Z14" s="12" t="s">
        <v>67</v>
      </c>
      <c r="AA14" s="10" t="s">
        <v>62</v>
      </c>
    </row>
    <row r="15" customFormat="false" ht="13.5" hidden="false" customHeight="true" outlineLevel="0" collapsed="false">
      <c r="B15" s="19" t="str">
        <f aca="false">IF(COUNT(C15:I15)=0,"","du "&amp;TEXT(MIN(C15:I15),"DD/MM")&amp;" au "&amp;TEXT(MAX(C15:I15),"DD/MM"))</f>
        <v>du 19/04 au 25/04</v>
      </c>
      <c r="C15" s="20" t="n">
        <f aca="false">IF(OR($O$6+21&lt;$O$4,$O$6+21&gt;$O$5),"",$O$6+21)</f>
        <v>46496</v>
      </c>
      <c r="D15" s="20" t="n">
        <f aca="false">IF(OR($O$6+22&lt;$O$4,$O$6+22&gt;$O$5),"",$O$6+22)</f>
        <v>46497</v>
      </c>
      <c r="E15" s="20" t="n">
        <f aca="false">IF(OR($O$6+23&lt;$O$4,$O$6+23&gt;$O$5),"",$O$6+23)</f>
        <v>46498</v>
      </c>
      <c r="F15" s="20" t="n">
        <f aca="false">IF(OR($O$6+24&lt;$O$4,$O$6+24&gt;$O$5),"",$O$6+24)</f>
        <v>46499</v>
      </c>
      <c r="G15" s="20" t="n">
        <f aca="false">IF(OR($O$6+25&lt;$O$4,$O$6+25&gt;$O$5),"",$O$6+25)</f>
        <v>46500</v>
      </c>
      <c r="H15" s="20" t="n">
        <f aca="false">IF(OR($O$6+26&lt;$O$4,$O$6+26&gt;$O$5),"",$O$6+26)</f>
        <v>46501</v>
      </c>
      <c r="I15" s="20" t="n">
        <f aca="false">IF(OR($O$6+27&lt;$O$4,$O$6+27&gt;$O$5),"",$O$6+27)</f>
        <v>46502</v>
      </c>
      <c r="N15" s="25" t="s">
        <v>68</v>
      </c>
      <c r="O15" s="26" t="n">
        <f aca="false">COUNTIFS($B$46:$B$125,$C$5,$C$46:$C$125,$O$7,$D$46:$D$125,"77W")</f>
        <v>0</v>
      </c>
      <c r="P15" s="26" t="n">
        <f aca="false">COUNTIFS($B$46:$B$125,$C$5,$C$46:$C$125,$O$7,$E$46:$E$125,"77W")</f>
        <v>0</v>
      </c>
      <c r="Q15" s="26" t="n">
        <f aca="false">COUNTIFS($B$46:$B$125,$C$5,$C$46:$C$125,$O$7,$F$46:$F$125,"77W")</f>
        <v>0</v>
      </c>
      <c r="R15" s="26" t="n">
        <f aca="false">COUNTIFS($B$46:$B$125,$C$5,$C$46:$C$125,$O$7,$G$46:$G$125,"77W")</f>
        <v>0</v>
      </c>
      <c r="S15" s="26" t="n">
        <f aca="false">COUNTIFS($B$46:$B$125,$C$5,$C$46:$C$125,$O$7,$H$46:$H$125,"77W")</f>
        <v>0</v>
      </c>
      <c r="T15" s="26" t="n">
        <f aca="false">COUNTIFS($B$46:$B$125,$C$5,$C$46:$C$125,$O$7,$I$46:$I$125,"77W")</f>
        <v>0</v>
      </c>
      <c r="U15" s="26" t="n">
        <f aca="false">COUNTIFS($B$46:$B$125,$C$5,$C$46:$C$125,$O$7,$J$46:$J$125,"77W")</f>
        <v>0</v>
      </c>
      <c r="W15" s="10" t="s">
        <v>69</v>
      </c>
      <c r="X15" s="11" t="n">
        <f aca="false">DATE(2028,3,1)</f>
        <v>46813</v>
      </c>
      <c r="Z15" s="12" t="s">
        <v>70</v>
      </c>
      <c r="AA15" s="10" t="s">
        <v>66</v>
      </c>
    </row>
    <row r="16" customFormat="false" ht="21.75" hidden="false" customHeight="true" outlineLevel="0" collapsed="false">
      <c r="B16" s="17" t="s">
        <v>71</v>
      </c>
      <c r="C16" s="18" t="str">
        <f aca="false">IF(C17="","",TRIM($O$14&amp;IF(SUMIFS($E$133:$E$172,$C$133:$C$172,$C$5,$B$133:$B$172,C17)=0,""," (+"&amp;IF(COUNTIFS($C$133:$C$172,$C$5,$B$133:$B$172,C17)=1,IF(SUMIFS($E$133:$E$172,$C$133:$C$172,$C$5,$B$133:$B$172,C17)=1,IFERROR(INDEX($D$133:$D$172,MATCH(C17&amp;"|"&amp;$C$5,$H$133:$H$172,0)),""),SUMIFS($E$133:$E$172,$C$133:$C$172,$C$5,$B$133:$B$172,C17)&amp;"x"&amp;IFERROR(INDEX($D$133:$D$172,MATCH(C17&amp;"|"&amp;$C$5,$H$133:$H$172,0)),"")),SUMIFS($E$133:$E$172,$C$133:$C$172,$C$5,$B$133:$B$172,C17)&amp;" vols")&amp;")")))</f>
        <v>A320</v>
      </c>
      <c r="D16" s="18" t="str">
        <f aca="false">IF(D17="","",TRIM($P$14&amp;IF(SUMIFS($E$133:$E$172,$C$133:$C$172,$C$5,$B$133:$B$172,D17)=0,""," (+"&amp;IF(COUNTIFS($C$133:$C$172,$C$5,$B$133:$B$172,D17)=1,IF(SUMIFS($E$133:$E$172,$C$133:$C$172,$C$5,$B$133:$B$172,D17)=1,IFERROR(INDEX($D$133:$D$172,MATCH(D17&amp;"|"&amp;$C$5,$H$133:$H$172,0)),""),SUMIFS($E$133:$E$172,$C$133:$C$172,$C$5,$B$133:$B$172,D17)&amp;"x"&amp;IFERROR(INDEX($D$133:$D$172,MATCH(D17&amp;"|"&amp;$C$5,$H$133:$H$172,0)),"")),SUMIFS($E$133:$E$172,$C$133:$C$172,$C$5,$B$133:$B$172,D17)&amp;" vols")&amp;")")))</f>
        <v/>
      </c>
      <c r="E16" s="18" t="str">
        <f aca="false">IF(E17="","",TRIM($Q$14&amp;IF(SUMIFS($E$133:$E$172,$C$133:$C$172,$C$5,$B$133:$B$172,E17)=0,""," (+"&amp;IF(COUNTIFS($C$133:$C$172,$C$5,$B$133:$B$172,E17)=1,IF(SUMIFS($E$133:$E$172,$C$133:$C$172,$C$5,$B$133:$B$172,E17)=1,IFERROR(INDEX($D$133:$D$172,MATCH(E17&amp;"|"&amp;$C$5,$H$133:$H$172,0)),""),SUMIFS($E$133:$E$172,$C$133:$C$172,$C$5,$B$133:$B$172,E17)&amp;"x"&amp;IFERROR(INDEX($D$133:$D$172,MATCH(E17&amp;"|"&amp;$C$5,$H$133:$H$172,0)),"")),SUMIFS($E$133:$E$172,$C$133:$C$172,$C$5,$B$133:$B$172,E17)&amp;" vols")&amp;")")))</f>
        <v/>
      </c>
      <c r="F16" s="18" t="str">
        <f aca="false">IF(F17="","",TRIM($R$14&amp;IF(SUMIFS($E$133:$E$172,$C$133:$C$172,$C$5,$B$133:$B$172,F17)=0,""," (+"&amp;IF(COUNTIFS($C$133:$C$172,$C$5,$B$133:$B$172,F17)=1,IF(SUMIFS($E$133:$E$172,$C$133:$C$172,$C$5,$B$133:$B$172,F17)=1,IFERROR(INDEX($D$133:$D$172,MATCH(F17&amp;"|"&amp;$C$5,$H$133:$H$172,0)),""),SUMIFS($E$133:$E$172,$C$133:$C$172,$C$5,$B$133:$B$172,F17)&amp;"x"&amp;IFERROR(INDEX($D$133:$D$172,MATCH(F17&amp;"|"&amp;$C$5,$H$133:$H$172,0)),"")),SUMIFS($E$133:$E$172,$C$133:$C$172,$C$5,$B$133:$B$172,F17)&amp;" vols")&amp;")")))</f>
        <v>A320</v>
      </c>
      <c r="G16" s="18" t="str">
        <f aca="false">IF(G17="","",TRIM($S$14&amp;IF(SUMIFS($E$133:$E$172,$C$133:$C$172,$C$5,$B$133:$B$172,G17)=0,""," (+"&amp;IF(COUNTIFS($C$133:$C$172,$C$5,$B$133:$B$172,G17)=1,IF(SUMIFS($E$133:$E$172,$C$133:$C$172,$C$5,$B$133:$B$172,G17)=1,IFERROR(INDEX($D$133:$D$172,MATCH(G17&amp;"|"&amp;$C$5,$H$133:$H$172,0)),""),SUMIFS($E$133:$E$172,$C$133:$C$172,$C$5,$B$133:$B$172,G17)&amp;"x"&amp;IFERROR(INDEX($D$133:$D$172,MATCH(G17&amp;"|"&amp;$C$5,$H$133:$H$172,0)),"")),SUMIFS($E$133:$E$172,$C$133:$C$172,$C$5,$B$133:$B$172,G17)&amp;" vols")&amp;")")))</f>
        <v/>
      </c>
      <c r="H16" s="18" t="str">
        <f aca="false">IF(H17="","",TRIM($T$14&amp;IF(SUMIFS($E$133:$E$172,$C$133:$C$172,$C$5,$B$133:$B$172,H17)=0,""," (+"&amp;IF(COUNTIFS($C$133:$C$172,$C$5,$B$133:$B$172,H17)=1,IF(SUMIFS($E$133:$E$172,$C$133:$C$172,$C$5,$B$133:$B$172,H17)=1,IFERROR(INDEX($D$133:$D$172,MATCH(H17&amp;"|"&amp;$C$5,$H$133:$H$172,0)),""),SUMIFS($E$133:$E$172,$C$133:$C$172,$C$5,$B$133:$B$172,H17)&amp;"x"&amp;IFERROR(INDEX($D$133:$D$172,MATCH(H17&amp;"|"&amp;$C$5,$H$133:$H$172,0)),"")),SUMIFS($E$133:$E$172,$C$133:$C$172,$C$5,$B$133:$B$172,H17)&amp;" vols")&amp;")")))</f>
        <v/>
      </c>
      <c r="I16" s="18" t="str">
        <f aca="false">IF(I17="","",TRIM($U$14&amp;IF(SUMIFS($E$133:$E$172,$C$133:$C$172,$C$5,$B$133:$B$172,I17)=0,""," (+"&amp;IF(COUNTIFS($C$133:$C$172,$C$5,$B$133:$B$172,I17)=1,IF(SUMIFS($E$133:$E$172,$C$133:$C$172,$C$5,$B$133:$B$172,I17)=1,IFERROR(INDEX($D$133:$D$172,MATCH(I17&amp;"|"&amp;$C$5,$H$133:$H$172,0)),""),SUMIFS($E$133:$E$172,$C$133:$C$172,$C$5,$B$133:$B$172,I17)&amp;"x"&amp;IFERROR(INDEX($D$133:$D$172,MATCH(I17&amp;"|"&amp;$C$5,$H$133:$H$172,0)),"")),SUMIFS($E$133:$E$172,$C$133:$C$172,$C$5,$B$133:$B$172,I17)&amp;" vols")&amp;")")))</f>
        <v/>
      </c>
      <c r="N16" s="25" t="s">
        <v>72</v>
      </c>
      <c r="O16" s="26" t="n">
        <f aca="false">COUNTIFS($B$46:$B$125,$C$5,$C$46:$C$125,$O$7,$D$46:$D$125,"778")</f>
        <v>0</v>
      </c>
      <c r="P16" s="26" t="n">
        <f aca="false">COUNTIFS($B$46:$B$125,$C$5,$C$46:$C$125,$O$7,$E$46:$E$125,"778")</f>
        <v>0</v>
      </c>
      <c r="Q16" s="26" t="n">
        <f aca="false">COUNTIFS($B$46:$B$125,$C$5,$C$46:$C$125,$O$7,$F$46:$F$125,"778")</f>
        <v>0</v>
      </c>
      <c r="R16" s="26" t="n">
        <f aca="false">COUNTIFS($B$46:$B$125,$C$5,$C$46:$C$125,$O$7,$G$46:$G$125,"778")</f>
        <v>0</v>
      </c>
      <c r="S16" s="26" t="n">
        <f aca="false">COUNTIFS($B$46:$B$125,$C$5,$C$46:$C$125,$O$7,$H$46:$H$125,"778")</f>
        <v>0</v>
      </c>
      <c r="T16" s="26" t="n">
        <f aca="false">COUNTIFS($B$46:$B$125,$C$5,$C$46:$C$125,$O$7,$I$46:$I$125,"778")</f>
        <v>0</v>
      </c>
      <c r="U16" s="26" t="n">
        <f aca="false">COUNTIFS($B$46:$B$125,$C$5,$C$46:$C$125,$O$7,$J$46:$J$125,"778")</f>
        <v>0</v>
      </c>
      <c r="AA16" s="10" t="s">
        <v>69</v>
      </c>
    </row>
    <row r="17" customFormat="false" ht="13.5" hidden="false" customHeight="true" outlineLevel="0" collapsed="false">
      <c r="B17" s="19" t="str">
        <f aca="false">IF(COUNT(C17:I17)=0,"","du "&amp;TEXT(MIN(C17:I17),"DD/MM")&amp;" au "&amp;TEXT(MAX(C17:I17),"DD/MM"))</f>
        <v>du 26/04 au 30/04</v>
      </c>
      <c r="C17" s="20" t="n">
        <f aca="false">IF(OR($O$6+28&lt;$O$4,$O$6+28&gt;$O$5),"",$O$6+28)</f>
        <v>46503</v>
      </c>
      <c r="D17" s="20" t="n">
        <f aca="false">IF(OR($O$6+29&lt;$O$4,$O$6+29&gt;$O$5),"",$O$6+29)</f>
        <v>46504</v>
      </c>
      <c r="E17" s="20" t="n">
        <f aca="false">IF(OR($O$6+30&lt;$O$4,$O$6+30&gt;$O$5),"",$O$6+30)</f>
        <v>46505</v>
      </c>
      <c r="F17" s="20" t="n">
        <f aca="false">IF(OR($O$6+31&lt;$O$4,$O$6+31&gt;$O$5),"",$O$6+31)</f>
        <v>46506</v>
      </c>
      <c r="G17" s="20" t="n">
        <f aca="false">IF(OR($O$6+32&lt;$O$4,$O$6+32&gt;$O$5),"",$O$6+32)</f>
        <v>46507</v>
      </c>
      <c r="H17" s="20" t="str">
        <f aca="false">IF(OR($O$6+33&lt;$O$4,$O$6+33&gt;$O$5),"",$O$6+33)</f>
        <v/>
      </c>
      <c r="I17" s="20" t="str">
        <f aca="false">IF(OR($O$6+34&lt;$O$4,$O$6+34&gt;$O$5),"",$O$6+34)</f>
        <v/>
      </c>
      <c r="N17" s="25" t="s">
        <v>73</v>
      </c>
      <c r="O17" s="26" t="n">
        <f aca="false">COUNTIFS($B$46:$B$125,$C$5,$C$46:$C$125,$O$7,$D$46:$D$125,"A320")</f>
        <v>1</v>
      </c>
      <c r="P17" s="26" t="n">
        <f aca="false">COUNTIFS($B$46:$B$125,$C$5,$C$46:$C$125,$O$7,$E$46:$E$125,"A320")</f>
        <v>0</v>
      </c>
      <c r="Q17" s="26" t="n">
        <f aca="false">COUNTIFS($B$46:$B$125,$C$5,$C$46:$C$125,$O$7,$F$46:$F$125,"A320")</f>
        <v>0</v>
      </c>
      <c r="R17" s="26" t="n">
        <f aca="false">COUNTIFS($B$46:$B$125,$C$5,$C$46:$C$125,$O$7,$G$46:$G$125,"A320")</f>
        <v>1</v>
      </c>
      <c r="S17" s="26" t="n">
        <f aca="false">COUNTIFS($B$46:$B$125,$C$5,$C$46:$C$125,$O$7,$H$46:$H$125,"A320")</f>
        <v>0</v>
      </c>
      <c r="T17" s="26" t="n">
        <f aca="false">COUNTIFS($B$46:$B$125,$C$5,$C$46:$C$125,$O$7,$I$46:$I$125,"A320")</f>
        <v>1</v>
      </c>
      <c r="U17" s="26" t="n">
        <f aca="false">COUNTIFS($B$46:$B$125,$C$5,$C$46:$C$125,$O$7,$J$46:$J$125,"A320")</f>
        <v>0</v>
      </c>
    </row>
    <row r="18" customFormat="false" ht="21.75" hidden="false" customHeight="true" outlineLevel="0" collapsed="false">
      <c r="B18" s="17" t="s">
        <v>74</v>
      </c>
      <c r="C18" s="18" t="str">
        <f aca="false">IF(C19="","",TRIM($O$14&amp;IF(SUMIFS($E$133:$E$172,$C$133:$C$172,$C$5,$B$133:$B$172,C19)=0,""," (+"&amp;IF(COUNTIFS($C$133:$C$172,$C$5,$B$133:$B$172,C19)=1,IF(SUMIFS($E$133:$E$172,$C$133:$C$172,$C$5,$B$133:$B$172,C19)=1,IFERROR(INDEX($D$133:$D$172,MATCH(C19&amp;"|"&amp;$C$5,$H$133:$H$172,0)),""),SUMIFS($E$133:$E$172,$C$133:$C$172,$C$5,$B$133:$B$172,C19)&amp;"x"&amp;IFERROR(INDEX($D$133:$D$172,MATCH(C19&amp;"|"&amp;$C$5,$H$133:$H$172,0)),"")),SUMIFS($E$133:$E$172,$C$133:$C$172,$C$5,$B$133:$B$172,C19)&amp;" vols")&amp;")")))</f>
        <v/>
      </c>
      <c r="D18" s="18" t="str">
        <f aca="false">IF(D19="","",TRIM($P$14&amp;IF(SUMIFS($E$133:$E$172,$C$133:$C$172,$C$5,$B$133:$B$172,D19)=0,""," (+"&amp;IF(COUNTIFS($C$133:$C$172,$C$5,$B$133:$B$172,D19)=1,IF(SUMIFS($E$133:$E$172,$C$133:$C$172,$C$5,$B$133:$B$172,D19)=1,IFERROR(INDEX($D$133:$D$172,MATCH(D19&amp;"|"&amp;$C$5,$H$133:$H$172,0)),""),SUMIFS($E$133:$E$172,$C$133:$C$172,$C$5,$B$133:$B$172,D19)&amp;"x"&amp;IFERROR(INDEX($D$133:$D$172,MATCH(D19&amp;"|"&amp;$C$5,$H$133:$H$172,0)),"")),SUMIFS($E$133:$E$172,$C$133:$C$172,$C$5,$B$133:$B$172,D19)&amp;" vols")&amp;")")))</f>
        <v/>
      </c>
      <c r="E18" s="18" t="str">
        <f aca="false">IF(E19="","",TRIM($Q$14&amp;IF(SUMIFS($E$133:$E$172,$C$133:$C$172,$C$5,$B$133:$B$172,E19)=0,""," (+"&amp;IF(COUNTIFS($C$133:$C$172,$C$5,$B$133:$B$172,E19)=1,IF(SUMIFS($E$133:$E$172,$C$133:$C$172,$C$5,$B$133:$B$172,E19)=1,IFERROR(INDEX($D$133:$D$172,MATCH(E19&amp;"|"&amp;$C$5,$H$133:$H$172,0)),""),SUMIFS($E$133:$E$172,$C$133:$C$172,$C$5,$B$133:$B$172,E19)&amp;"x"&amp;IFERROR(INDEX($D$133:$D$172,MATCH(E19&amp;"|"&amp;$C$5,$H$133:$H$172,0)),"")),SUMIFS($E$133:$E$172,$C$133:$C$172,$C$5,$B$133:$B$172,E19)&amp;" vols")&amp;")")))</f>
        <v/>
      </c>
      <c r="F18" s="18" t="str">
        <f aca="false">IF(F19="","",TRIM($R$14&amp;IF(SUMIFS($E$133:$E$172,$C$133:$C$172,$C$5,$B$133:$B$172,F19)=0,""," (+"&amp;IF(COUNTIFS($C$133:$C$172,$C$5,$B$133:$B$172,F19)=1,IF(SUMIFS($E$133:$E$172,$C$133:$C$172,$C$5,$B$133:$B$172,F19)=1,IFERROR(INDEX($D$133:$D$172,MATCH(F19&amp;"|"&amp;$C$5,$H$133:$H$172,0)),""),SUMIFS($E$133:$E$172,$C$133:$C$172,$C$5,$B$133:$B$172,F19)&amp;"x"&amp;IFERROR(INDEX($D$133:$D$172,MATCH(F19&amp;"|"&amp;$C$5,$H$133:$H$172,0)),"")),SUMIFS($E$133:$E$172,$C$133:$C$172,$C$5,$B$133:$B$172,F19)&amp;" vols")&amp;")")))</f>
        <v/>
      </c>
      <c r="G18" s="18" t="str">
        <f aca="false">IF(G19="","",TRIM($S$14&amp;IF(SUMIFS($E$133:$E$172,$C$133:$C$172,$C$5,$B$133:$B$172,G19)=0,""," (+"&amp;IF(COUNTIFS($C$133:$C$172,$C$5,$B$133:$B$172,G19)=1,IF(SUMIFS($E$133:$E$172,$C$133:$C$172,$C$5,$B$133:$B$172,G19)=1,IFERROR(INDEX($D$133:$D$172,MATCH(G19&amp;"|"&amp;$C$5,$H$133:$H$172,0)),""),SUMIFS($E$133:$E$172,$C$133:$C$172,$C$5,$B$133:$B$172,G19)&amp;"x"&amp;IFERROR(INDEX($D$133:$D$172,MATCH(G19&amp;"|"&amp;$C$5,$H$133:$H$172,0)),"")),SUMIFS($E$133:$E$172,$C$133:$C$172,$C$5,$B$133:$B$172,G19)&amp;" vols")&amp;")")))</f>
        <v/>
      </c>
      <c r="H18" s="18" t="str">
        <f aca="false">IF(H19="","",TRIM($T$14&amp;IF(SUMIFS($E$133:$E$172,$C$133:$C$172,$C$5,$B$133:$B$172,H19)=0,""," (+"&amp;IF(COUNTIFS($C$133:$C$172,$C$5,$B$133:$B$172,H19)=1,IF(SUMIFS($E$133:$E$172,$C$133:$C$172,$C$5,$B$133:$B$172,H19)=1,IFERROR(INDEX($D$133:$D$172,MATCH(H19&amp;"|"&amp;$C$5,$H$133:$H$172,0)),""),SUMIFS($E$133:$E$172,$C$133:$C$172,$C$5,$B$133:$B$172,H19)&amp;"x"&amp;IFERROR(INDEX($D$133:$D$172,MATCH(H19&amp;"|"&amp;$C$5,$H$133:$H$172,0)),"")),SUMIFS($E$133:$E$172,$C$133:$C$172,$C$5,$B$133:$B$172,H19)&amp;" vols")&amp;")")))</f>
        <v/>
      </c>
      <c r="I18" s="18" t="str">
        <f aca="false">IF(I19="","",TRIM($U$14&amp;IF(SUMIFS($E$133:$E$172,$C$133:$C$172,$C$5,$B$133:$B$172,I19)=0,""," (+"&amp;IF(COUNTIFS($C$133:$C$172,$C$5,$B$133:$B$172,I19)=1,IF(SUMIFS($E$133:$E$172,$C$133:$C$172,$C$5,$B$133:$B$172,I19)=1,IFERROR(INDEX($D$133:$D$172,MATCH(I19&amp;"|"&amp;$C$5,$H$133:$H$172,0)),""),SUMIFS($E$133:$E$172,$C$133:$C$172,$C$5,$B$133:$B$172,I19)&amp;"x"&amp;IFERROR(INDEX($D$133:$D$172,MATCH(I19&amp;"|"&amp;$C$5,$H$133:$H$172,0)),"")),SUMIFS($E$133:$E$172,$C$133:$C$172,$C$5,$B$133:$B$172,I19)&amp;" vols")&amp;")")))</f>
        <v/>
      </c>
      <c r="N18" s="24" t="s">
        <v>75</v>
      </c>
      <c r="O18" s="21" t="n">
        <f aca="false">SUM(O15:O17)</f>
        <v>1</v>
      </c>
      <c r="P18" s="21" t="n">
        <f aca="false">SUM(P15:P17)</f>
        <v>0</v>
      </c>
      <c r="Q18" s="21" t="n">
        <f aca="false">SUM(Q15:Q17)</f>
        <v>0</v>
      </c>
      <c r="R18" s="21" t="n">
        <f aca="false">SUM(R15:R17)</f>
        <v>1</v>
      </c>
      <c r="S18" s="21" t="n">
        <f aca="false">SUM(S15:S17)</f>
        <v>0</v>
      </c>
      <c r="T18" s="21" t="n">
        <f aca="false">SUM(T15:T17)</f>
        <v>1</v>
      </c>
      <c r="U18" s="21" t="n">
        <f aca="false">SUM(U15:U17)</f>
        <v>0</v>
      </c>
    </row>
    <row r="19" customFormat="false" ht="13.5" hidden="false" customHeight="true" outlineLevel="0" collapsed="false">
      <c r="B19" s="19" t="str">
        <f aca="false">IF(COUNT(C19:I19)=0,"","du "&amp;TEXT(MIN(C19:I19),"DD/MM")&amp;" au "&amp;TEXT(MAX(C19:I19),"DD/MM"))</f>
        <v/>
      </c>
      <c r="C19" s="20" t="str">
        <f aca="false">IF(OR($O$6+35&lt;$O$4,$O$6+35&gt;$O$5),"",$O$6+35)</f>
        <v/>
      </c>
      <c r="D19" s="20" t="str">
        <f aca="false">IF(OR($O$6+36&lt;$O$4,$O$6+36&gt;$O$5),"",$O$6+36)</f>
        <v/>
      </c>
      <c r="E19" s="20" t="str">
        <f aca="false">IF(OR($O$6+37&lt;$O$4,$O$6+37&gt;$O$5),"",$O$6+37)</f>
        <v/>
      </c>
      <c r="F19" s="20" t="str">
        <f aca="false">IF(OR($O$6+38&lt;$O$4,$O$6+38&gt;$O$5),"",$O$6+38)</f>
        <v/>
      </c>
      <c r="G19" s="20" t="str">
        <f aca="false">IF(OR($O$6+39&lt;$O$4,$O$6+39&gt;$O$5),"",$O$6+39)</f>
        <v/>
      </c>
      <c r="H19" s="20" t="str">
        <f aca="false">IF(OR($O$6+40&lt;$O$4,$O$6+40&gt;$O$5),"",$O$6+40)</f>
        <v/>
      </c>
      <c r="I19" s="20" t="str">
        <f aca="false">IF(OR($O$6+41&lt;$O$4,$O$6+41&gt;$O$5),"",$O$6+41)</f>
        <v/>
      </c>
    </row>
    <row r="20" customFormat="false" ht="15" hidden="false" customHeight="false" outlineLevel="0" collapsed="false">
      <c r="B20" s="27" t="s">
        <v>76</v>
      </c>
      <c r="C20" s="28" t="n">
        <f aca="false">COUNT(C9,C11,C13,C15,C17,C19)</f>
        <v>4</v>
      </c>
      <c r="D20" s="28" t="n">
        <f aca="false">COUNT(D9,D11,D13,D15,D17,D19)</f>
        <v>4</v>
      </c>
      <c r="E20" s="28" t="n">
        <f aca="false">COUNT(E9,E11,E13,E15,E17,E19)</f>
        <v>4</v>
      </c>
      <c r="F20" s="28" t="n">
        <f aca="false">COUNT(F9,F11,F13,F15,F17,F19)</f>
        <v>5</v>
      </c>
      <c r="G20" s="28" t="n">
        <f aca="false">COUNT(G9,G11,G13,G15,G17,G19)</f>
        <v>5</v>
      </c>
      <c r="H20" s="28" t="n">
        <f aca="false">COUNT(H9,H11,H13,H15,H17,H19)</f>
        <v>4</v>
      </c>
      <c r="I20" s="28" t="n">
        <f aca="false">COUNT(I9,I11,I13,I15,I17,I19)</f>
        <v>4</v>
      </c>
      <c r="N20" s="22" t="s">
        <v>77</v>
      </c>
      <c r="O20" s="22"/>
      <c r="P20" s="22"/>
      <c r="Q20" s="22"/>
      <c r="R20" s="22"/>
      <c r="S20" s="22"/>
      <c r="T20" s="22"/>
      <c r="U20" s="22"/>
    </row>
    <row r="21" customFormat="false" ht="15" hidden="false" customHeight="false" outlineLevel="0" collapsed="false">
      <c r="B21" s="27" t="s">
        <v>78</v>
      </c>
      <c r="C21" s="28" t="n">
        <f aca="false">IF(COUNT(C9:I9)&gt;0,1,0)+IF(COUNT(C11:I11)&gt;0,1,0)+IF(COUNT(C13:I13)&gt;0,1,0)+IF(COUNT(C15:I15)&gt;0,1,0)+IF(COUNT(C17:I17)&gt;0,1,0)+IF(COUNT(C19:I19)&gt;0,1,0)</f>
        <v>5</v>
      </c>
      <c r="D21" s="29" t="s">
        <v>79</v>
      </c>
      <c r="E21" s="29"/>
      <c r="F21" s="29"/>
      <c r="G21" s="29"/>
      <c r="H21" s="29"/>
      <c r="I21" s="29"/>
      <c r="N21" s="23" t="s">
        <v>80</v>
      </c>
      <c r="O21" s="23" t="s">
        <v>55</v>
      </c>
      <c r="P21" s="23" t="s">
        <v>56</v>
      </c>
      <c r="Q21" s="23" t="s">
        <v>57</v>
      </c>
      <c r="R21" s="23" t="s">
        <v>58</v>
      </c>
      <c r="S21" s="23" t="s">
        <v>59</v>
      </c>
      <c r="T21" s="23" t="s">
        <v>60</v>
      </c>
      <c r="U21" s="23" t="s">
        <v>61</v>
      </c>
    </row>
    <row r="22" customFormat="false" ht="15" hidden="false" customHeight="false" outlineLevel="0" collapsed="false">
      <c r="N22" s="30" t="s">
        <v>81</v>
      </c>
      <c r="O22" s="30"/>
      <c r="P22" s="30"/>
      <c r="Q22" s="30"/>
      <c r="R22" s="30"/>
      <c r="S22" s="30"/>
      <c r="T22" s="30"/>
      <c r="U22" s="30"/>
    </row>
    <row r="23" customFormat="false" ht="15" hidden="false" customHeight="false" outlineLevel="0" collapsed="false">
      <c r="B23" s="14" t="s">
        <v>82</v>
      </c>
      <c r="C23" s="14"/>
      <c r="D23" s="14"/>
      <c r="E23" s="14"/>
      <c r="F23" s="14"/>
      <c r="G23" s="14"/>
      <c r="H23" s="14"/>
      <c r="I23" s="14"/>
      <c r="J23" s="14"/>
      <c r="K23" s="14"/>
      <c r="L23" s="14"/>
      <c r="M23" s="14"/>
      <c r="N23" s="10" t="str">
        <f aca="false">$B25</f>
        <v>CDGRUN</v>
      </c>
      <c r="O23" s="31" t="n">
        <f aca="false">COUNTIFS($B$46:$B$125,$B25,$C$46:$C$125,$H25,$D$46:$D$125,"77W")</f>
        <v>1</v>
      </c>
      <c r="P23" s="31" t="n">
        <f aca="false">COUNTIFS($B$46:$B$125,$B25,$C$46:$C$125,$H25,$E$46:$E$125,"77W")</f>
        <v>1</v>
      </c>
      <c r="Q23" s="31" t="n">
        <f aca="false">COUNTIFS($B$46:$B$125,$B25,$C$46:$C$125,$H25,$F$46:$F$125,"77W")</f>
        <v>1</v>
      </c>
      <c r="R23" s="31" t="n">
        <f aca="false">COUNTIFS($B$46:$B$125,$B25,$C$46:$C$125,$H25,$G$46:$G$125,"77W")</f>
        <v>1</v>
      </c>
      <c r="S23" s="31" t="n">
        <f aca="false">COUNTIFS($B$46:$B$125,$B25,$C$46:$C$125,$H25,$H$46:$H$125,"77W")</f>
        <v>1</v>
      </c>
      <c r="T23" s="31" t="n">
        <f aca="false">COUNTIFS($B$46:$B$125,$B25,$C$46:$C$125,$H25,$I$46:$I$125,"77W")</f>
        <v>1</v>
      </c>
      <c r="U23" s="31" t="n">
        <f aca="false">COUNTIFS($B$46:$B$125,$B25,$C$46:$C$125,$H25,$J$46:$J$125,"77W")</f>
        <v>1</v>
      </c>
    </row>
    <row r="24" customFormat="false" ht="43.5" hidden="false" customHeight="true" outlineLevel="0" collapsed="false">
      <c r="B24" s="32" t="s">
        <v>80</v>
      </c>
      <c r="C24" s="32" t="s">
        <v>39</v>
      </c>
      <c r="D24" s="32" t="s">
        <v>83</v>
      </c>
      <c r="E24" s="32" t="s">
        <v>84</v>
      </c>
      <c r="F24" s="32" t="s">
        <v>85</v>
      </c>
      <c r="G24" s="32" t="s">
        <v>86</v>
      </c>
      <c r="H24" s="32" t="s">
        <v>35</v>
      </c>
      <c r="I24" s="32" t="s">
        <v>87</v>
      </c>
      <c r="J24" s="32" t="s">
        <v>88</v>
      </c>
      <c r="K24" s="32" t="s">
        <v>89</v>
      </c>
      <c r="L24" s="32" t="s">
        <v>90</v>
      </c>
      <c r="M24" s="32" t="s">
        <v>91</v>
      </c>
      <c r="N24" s="10" t="str">
        <f aca="false">$B26</f>
        <v>CDGDZA</v>
      </c>
      <c r="O24" s="31" t="n">
        <f aca="false">COUNTIFS($B$46:$B$125,$B26,$C$46:$C$125,$H26,$D$46:$D$125,"77W")</f>
        <v>0</v>
      </c>
      <c r="P24" s="31" t="n">
        <f aca="false">COUNTIFS($B$46:$B$125,$B26,$C$46:$C$125,$H26,$E$46:$E$125,"77W")</f>
        <v>0</v>
      </c>
      <c r="Q24" s="31" t="n">
        <f aca="false">COUNTIFS($B$46:$B$125,$B26,$C$46:$C$125,$H26,$F$46:$F$125,"77W")</f>
        <v>0</v>
      </c>
      <c r="R24" s="31" t="n">
        <f aca="false">COUNTIFS($B$46:$B$125,$B26,$C$46:$C$125,$H26,$G$46:$G$125,"77W")</f>
        <v>0</v>
      </c>
      <c r="S24" s="31" t="n">
        <f aca="false">COUNTIFS($B$46:$B$125,$B26,$C$46:$C$125,$H26,$H$46:$H$125,"77W")</f>
        <v>0</v>
      </c>
      <c r="T24" s="31" t="n">
        <f aca="false">COUNTIFS($B$46:$B$125,$B26,$C$46:$C$125,$H26,$I$46:$I$125,"77W")</f>
        <v>0</v>
      </c>
      <c r="U24" s="31" t="n">
        <f aca="false">COUNTIFS($B$46:$B$125,$B26,$C$46:$C$125,$H26,$J$46:$J$125,"77W")</f>
        <v>1</v>
      </c>
    </row>
    <row r="25" customFormat="false" ht="24" hidden="false" customHeight="true" outlineLevel="0" collapsed="false">
      <c r="B25" s="18" t="str">
        <f aca="false">$Z$4</f>
        <v>CDGRUN</v>
      </c>
      <c r="C25" s="33" t="str">
        <f aca="false">IF(E25=0,"-",SUBSTITUTE(TRIM(IF(SUM($O$23:$U$23)&gt;0,"77W("&amp;SUM($O$23:$U$23)&amp;") ","")&amp;IF(SUM($O$37:$U$37)&gt;0,"778("&amp;SUM($O$37:$U$37)&amp;") ","")&amp;IF(SUM($O$51:$U$51)&gt;0,"A320("&amp;SUM($O$51:$U$51)&amp;") ",""))," ",", "))</f>
        <v>77W(7), 778(2), A320(1)</v>
      </c>
      <c r="D25" s="33" t="str">
        <f aca="false">IF(E25=0,"aucune operation",SUBSTITUTE(TRIM(IF($O$23+$O$37+$O$51&gt;0,"J1 ","")&amp;IF($P$23+$P$37+$P$51&gt;0,"J2 ","")&amp;IF($Q$23+$Q$37+$Q$51&gt;0,"J3 ","")&amp;IF($R$23+$R$37+$R$51&gt;0,"J4 ","")&amp;IF($S$23+$S$37+$S$51&gt;0,"J5 ","")&amp;IF($T$23+$T$37+$T$51&gt;0,"J6 ","")&amp;IF($U$23+$U$37+$U$51&gt;0,"J7 ",""))," ",", "))</f>
        <v>J1, J2, J3, J4, J5, J6, J7</v>
      </c>
      <c r="E25" s="34" t="n">
        <f aca="false">SUM($O$23:$U$23)+SUM($O$37:$U$37)+SUM($O$51:$U$51)</f>
        <v>10</v>
      </c>
      <c r="F25" s="34" t="n">
        <f aca="false">$C$21</f>
        <v>5</v>
      </c>
      <c r="G25" s="35" t="n">
        <f aca="false">I25+J25</f>
        <v>45</v>
      </c>
      <c r="H25" s="36" t="str">
        <f aca="false">IF(COUNTIFS($B$46:$B$125,$B25,$C$46:$C$125,$C$4)&gt;0,$C$4,"TOUS")</f>
        <v>TOUS</v>
      </c>
      <c r="I25" s="34" t="n">
        <f aca="false">SUMPRODUCT($C$20:$I$20,$O$23:$U$23)+SUMPRODUCT($C$20:$I$20,$O$37:$U$37)+SUMPRODUCT($C$20:$I$20,$O$51:$U$51)</f>
        <v>43</v>
      </c>
      <c r="J25" s="34" t="n">
        <f aca="false">SUMIFS($E$133:$E$172,$C$133:$C$172,$B25,$B$133:$B$172,"&gt;="&amp;$O$4,$B$133:$B$172,"&lt;="&amp;$O$5)</f>
        <v>2</v>
      </c>
      <c r="K25" s="26" t="n">
        <f aca="false">SUMPRODUCT($C$20:$I$20,$O$23:$U$23)+SUMIFS($E$133:$E$172,$C$133:$C$172,$B25,$D$133:$D$172,"77W",$B$133:$B$172,"&gt;="&amp;$O$4,$B$133:$B$172,"&lt;="&amp;$O$5)</f>
        <v>30</v>
      </c>
      <c r="L25" s="26" t="n">
        <f aca="false">SUMPRODUCT($C$20:$I$20,$O$37:$U$37)+SUMIFS($E$133:$E$172,$C$133:$C$172,$B25,$D$133:$D$172,"778",$B$133:$B$172,"&gt;="&amp;$O$4,$B$133:$B$172,"&lt;="&amp;$O$5)</f>
        <v>11</v>
      </c>
      <c r="M25" s="26" t="n">
        <f aca="false">SUMPRODUCT($C$20:$I$20,$O$51:$U$51)+SUMIFS($E$133:$E$172,$C$133:$C$172,$B25,$D$133:$D$172,"A320",$B$133:$B$172,"&gt;="&amp;$O$4,$B$133:$B$172,"&lt;="&amp;$O$5)</f>
        <v>4</v>
      </c>
      <c r="N25" s="10" t="str">
        <f aca="false">$B27</f>
        <v>BKKRUN</v>
      </c>
      <c r="O25" s="31" t="n">
        <f aca="false">COUNTIFS($B$46:$B$125,$B27,$C$46:$C$125,$H27,$D$46:$D$125,"77W")</f>
        <v>0</v>
      </c>
      <c r="P25" s="31" t="n">
        <f aca="false">COUNTIFS($B$46:$B$125,$B27,$C$46:$C$125,$H27,$E$46:$E$125,"77W")</f>
        <v>0</v>
      </c>
      <c r="Q25" s="31" t="n">
        <f aca="false">COUNTIFS($B$46:$B$125,$B27,$C$46:$C$125,$H27,$F$46:$F$125,"77W")</f>
        <v>0</v>
      </c>
      <c r="R25" s="31" t="n">
        <f aca="false">COUNTIFS($B$46:$B$125,$B27,$C$46:$C$125,$H27,$G$46:$G$125,"77W")</f>
        <v>0</v>
      </c>
      <c r="S25" s="31" t="n">
        <f aca="false">COUNTIFS($B$46:$B$125,$B27,$C$46:$C$125,$H27,$H$46:$H$125,"77W")</f>
        <v>0</v>
      </c>
      <c r="T25" s="31" t="n">
        <f aca="false">COUNTIFS($B$46:$B$125,$B27,$C$46:$C$125,$H27,$I$46:$I$125,"77W")</f>
        <v>0</v>
      </c>
      <c r="U25" s="31" t="n">
        <f aca="false">COUNTIFS($B$46:$B$125,$B27,$C$46:$C$125,$H27,$J$46:$J$125,"77W")</f>
        <v>0</v>
      </c>
    </row>
    <row r="26" customFormat="false" ht="24" hidden="false" customHeight="true" outlineLevel="0" collapsed="false">
      <c r="B26" s="18" t="str">
        <f aca="false">$Z$5</f>
        <v>CDGDZA</v>
      </c>
      <c r="C26" s="33" t="str">
        <f aca="false">IF(E26=0,"-",SUBSTITUTE(TRIM(IF(SUM($O$24:$U$24)&gt;0,"77W("&amp;SUM($O$24:$U$24)&amp;") ","")&amp;IF(SUM($O$38:$U$38)&gt;0,"778("&amp;SUM($O$38:$U$38)&amp;") ","")&amp;IF(SUM($O$52:$U$52)&gt;0,"A320("&amp;SUM($O$52:$U$52)&amp;") ",""))," ",", "))</f>
        <v>77W(1), 778(2)</v>
      </c>
      <c r="D26" s="33" t="str">
        <f aca="false">IF(E26=0,"aucune operation",SUBSTITUTE(TRIM(IF($O$24+$O$38+$O$52&gt;0,"J1 ","")&amp;IF($P$24+$P$38+$P$52&gt;0,"J2 ","")&amp;IF($Q$24+$Q$38+$Q$52&gt;0,"J3 ","")&amp;IF($R$24+$R$38+$R$52&gt;0,"J4 ","")&amp;IF($S$24+$S$38+$S$52&gt;0,"J5 ","")&amp;IF($T$24+$T$38+$T$52&gt;0,"J6 ","")&amp;IF($U$24+$U$38+$U$52&gt;0,"J7 ",""))," ",", "))</f>
        <v>J2, J5, J7</v>
      </c>
      <c r="E26" s="34" t="n">
        <f aca="false">SUM($O$24:$U$24)+SUM($O$38:$U$38)+SUM($O$52:$U$52)</f>
        <v>3</v>
      </c>
      <c r="F26" s="34" t="n">
        <f aca="false">$C$21</f>
        <v>5</v>
      </c>
      <c r="G26" s="35" t="n">
        <f aca="false">I26+J26</f>
        <v>13</v>
      </c>
      <c r="H26" s="36" t="str">
        <f aca="false">IF(COUNTIFS($B$46:$B$125,$B26,$C$46:$C$125,$C$4)&gt;0,$C$4,"TOUS")</f>
        <v>TOUS</v>
      </c>
      <c r="I26" s="34" t="n">
        <f aca="false">SUMPRODUCT($C$20:$I$20,$O$24:$U$24)+SUMPRODUCT($C$20:$I$20,$O$38:$U$38)+SUMPRODUCT($C$20:$I$20,$O$52:$U$52)</f>
        <v>13</v>
      </c>
      <c r="J26" s="34" t="n">
        <f aca="false">SUMIFS($E$133:$E$172,$C$133:$C$172,$B26,$B$133:$B$172,"&gt;="&amp;$O$4,$B$133:$B$172,"&lt;="&amp;$O$5)</f>
        <v>0</v>
      </c>
      <c r="K26" s="26" t="n">
        <f aca="false">SUMPRODUCT($C$20:$I$20,$O$24:$U$24)+SUMIFS($E$133:$E$172,$C$133:$C$172,$B26,$D$133:$D$172,"77W",$B$133:$B$172,"&gt;="&amp;$O$4,$B$133:$B$172,"&lt;="&amp;$O$5)</f>
        <v>4</v>
      </c>
      <c r="L26" s="26" t="n">
        <f aca="false">SUMPRODUCT($C$20:$I$20,$O$38:$U$38)+SUMIFS($E$133:$E$172,$C$133:$C$172,$B26,$D$133:$D$172,"778",$B$133:$B$172,"&gt;="&amp;$O$4,$B$133:$B$172,"&lt;="&amp;$O$5)</f>
        <v>9</v>
      </c>
      <c r="M26" s="26" t="n">
        <f aca="false">SUMPRODUCT($C$20:$I$20,$O$52:$U$52)+SUMIFS($E$133:$E$172,$C$133:$C$172,$B26,$D$133:$D$172,"A320",$B$133:$B$172,"&gt;="&amp;$O$4,$B$133:$B$172,"&lt;="&amp;$O$5)</f>
        <v>0</v>
      </c>
      <c r="N26" s="10" t="str">
        <f aca="false">$B28</f>
        <v>DZARUN</v>
      </c>
      <c r="O26" s="31" t="n">
        <f aca="false">COUNTIFS($B$46:$B$125,$B28,$C$46:$C$125,$H28,$D$46:$D$125,"77W")</f>
        <v>0</v>
      </c>
      <c r="P26" s="31" t="n">
        <f aca="false">COUNTIFS($B$46:$B$125,$B28,$C$46:$C$125,$H28,$E$46:$E$125,"77W")</f>
        <v>0</v>
      </c>
      <c r="Q26" s="31" t="n">
        <f aca="false">COUNTIFS($B$46:$B$125,$B28,$C$46:$C$125,$H28,$F$46:$F$125,"77W")</f>
        <v>0</v>
      </c>
      <c r="R26" s="31" t="n">
        <f aca="false">COUNTIFS($B$46:$B$125,$B28,$C$46:$C$125,$H28,$G$46:$G$125,"77W")</f>
        <v>0</v>
      </c>
      <c r="S26" s="31" t="n">
        <f aca="false">COUNTIFS($B$46:$B$125,$B28,$C$46:$C$125,$H28,$H$46:$H$125,"77W")</f>
        <v>0</v>
      </c>
      <c r="T26" s="31" t="n">
        <f aca="false">COUNTIFS($B$46:$B$125,$B28,$C$46:$C$125,$H28,$I$46:$I$125,"77W")</f>
        <v>0</v>
      </c>
      <c r="U26" s="31" t="n">
        <f aca="false">COUNTIFS($B$46:$B$125,$B28,$C$46:$C$125,$H28,$J$46:$J$125,"77W")</f>
        <v>0</v>
      </c>
    </row>
    <row r="27" customFormat="false" ht="24" hidden="false" customHeight="true" outlineLevel="0" collapsed="false">
      <c r="B27" s="18" t="str">
        <f aca="false">$Z$6</f>
        <v>BKKRUN</v>
      </c>
      <c r="C27" s="33" t="str">
        <f aca="false">IF(E27=0,"-",SUBSTITUTE(TRIM(IF(SUM($O$25:$U$25)&gt;0,"77W("&amp;SUM($O$25:$U$25)&amp;") ","")&amp;IF(SUM($O$39:$U$39)&gt;0,"778("&amp;SUM($O$39:$U$39)&amp;") ","")&amp;IF(SUM($O$53:$U$53)&gt;0,"A320("&amp;SUM($O$53:$U$53)&amp;") ",""))," ",", "))</f>
        <v>778(2)</v>
      </c>
      <c r="D27" s="33" t="str">
        <f aca="false">IF(E27=0,"aucune operation",SUBSTITUTE(TRIM(IF($O$25+$O$39+$O$53&gt;0,"J1 ","")&amp;IF($P$25+$P$39+$P$53&gt;0,"J2 ","")&amp;IF($Q$25+$Q$39+$Q$53&gt;0,"J3 ","")&amp;IF($R$25+$R$39+$R$53&gt;0,"J4 ","")&amp;IF($S$25+$S$39+$S$53&gt;0,"J5 ","")&amp;IF($T$25+$T$39+$T$53&gt;0,"J6 ","")&amp;IF($U$25+$U$39+$U$53&gt;0,"J7 ",""))," ",", "))</f>
        <v>J3, J6</v>
      </c>
      <c r="E27" s="34" t="n">
        <f aca="false">SUM($O$25:$U$25)+SUM($O$39:$U$39)+SUM($O$53:$U$53)</f>
        <v>2</v>
      </c>
      <c r="F27" s="34" t="n">
        <f aca="false">$C$21</f>
        <v>5</v>
      </c>
      <c r="G27" s="35" t="n">
        <f aca="false">I27+J27</f>
        <v>8</v>
      </c>
      <c r="H27" s="36" t="str">
        <f aca="false">IF(COUNTIFS($B$46:$B$125,$B27,$C$46:$C$125,$C$4)&gt;0,$C$4,"TOUS")</f>
        <v>TOUS</v>
      </c>
      <c r="I27" s="34" t="n">
        <f aca="false">SUMPRODUCT($C$20:$I$20,$O$25:$U$25)+SUMPRODUCT($C$20:$I$20,$O$39:$U$39)+SUMPRODUCT($C$20:$I$20,$O$53:$U$53)</f>
        <v>8</v>
      </c>
      <c r="J27" s="34" t="n">
        <f aca="false">SUMIFS($E$133:$E$172,$C$133:$C$172,$B27,$B$133:$B$172,"&gt;="&amp;$O$4,$B$133:$B$172,"&lt;="&amp;$O$5)</f>
        <v>0</v>
      </c>
      <c r="K27" s="26" t="n">
        <f aca="false">SUMPRODUCT($C$20:$I$20,$O$25:$U$25)+SUMIFS($E$133:$E$172,$C$133:$C$172,$B27,$D$133:$D$172,"77W",$B$133:$B$172,"&gt;="&amp;$O$4,$B$133:$B$172,"&lt;="&amp;$O$5)</f>
        <v>0</v>
      </c>
      <c r="L27" s="26" t="n">
        <f aca="false">SUMPRODUCT($C$20:$I$20,$O$39:$U$39)+SUMIFS($E$133:$E$172,$C$133:$C$172,$B27,$D$133:$D$172,"778",$B$133:$B$172,"&gt;="&amp;$O$4,$B$133:$B$172,"&lt;="&amp;$O$5)</f>
        <v>8</v>
      </c>
      <c r="M27" s="26" t="n">
        <f aca="false">SUMPRODUCT($C$20:$I$20,$O$53:$U$53)+SUMIFS($E$133:$E$172,$C$133:$C$172,$B27,$D$133:$D$172,"A320",$B$133:$B$172,"&gt;="&amp;$O$4,$B$133:$B$172,"&lt;="&amp;$O$5)</f>
        <v>0</v>
      </c>
      <c r="N27" s="10" t="str">
        <f aca="false">$B29</f>
        <v>MRURUN</v>
      </c>
      <c r="O27" s="31" t="n">
        <f aca="false">COUNTIFS($B$46:$B$125,$B29,$C$46:$C$125,$H29,$D$46:$D$125,"77W")</f>
        <v>0</v>
      </c>
      <c r="P27" s="31" t="n">
        <f aca="false">COUNTIFS($B$46:$B$125,$B29,$C$46:$C$125,$H29,$E$46:$E$125,"77W")</f>
        <v>0</v>
      </c>
      <c r="Q27" s="31" t="n">
        <f aca="false">COUNTIFS($B$46:$B$125,$B29,$C$46:$C$125,$H29,$F$46:$F$125,"77W")</f>
        <v>0</v>
      </c>
      <c r="R27" s="31" t="n">
        <f aca="false">COUNTIFS($B$46:$B$125,$B29,$C$46:$C$125,$H29,$G$46:$G$125,"77W")</f>
        <v>0</v>
      </c>
      <c r="S27" s="31" t="n">
        <f aca="false">COUNTIFS($B$46:$B$125,$B29,$C$46:$C$125,$H29,$H$46:$H$125,"77W")</f>
        <v>0</v>
      </c>
      <c r="T27" s="31" t="n">
        <f aca="false">COUNTIFS($B$46:$B$125,$B29,$C$46:$C$125,$H29,$I$46:$I$125,"77W")</f>
        <v>0</v>
      </c>
      <c r="U27" s="31" t="n">
        <f aca="false">COUNTIFS($B$46:$B$125,$B29,$C$46:$C$125,$H29,$J$46:$J$125,"77W")</f>
        <v>0</v>
      </c>
    </row>
    <row r="28" customFormat="false" ht="24" hidden="false" customHeight="true" outlineLevel="0" collapsed="false">
      <c r="B28" s="18" t="str">
        <f aca="false">$Z$7</f>
        <v>DZARUN</v>
      </c>
      <c r="C28" s="33" t="str">
        <f aca="false">IF(E28=0,"-",SUBSTITUTE(TRIM(IF(SUM($O$26:$U$26)&gt;0,"77W("&amp;SUM($O$26:$U$26)&amp;") ","")&amp;IF(SUM($O$40:$U$40)&gt;0,"778("&amp;SUM($O$40:$U$40)&amp;") ","")&amp;IF(SUM($O$54:$U$54)&gt;0,"A320("&amp;SUM($O$54:$U$54)&amp;") ",""))," ",", "))</f>
        <v>778(1), A320(5)</v>
      </c>
      <c r="D28" s="33" t="str">
        <f aca="false">IF(E28=0,"aucune operation",SUBSTITUTE(TRIM(IF($O$26+$O$40+$O$54&gt;0,"J1 ","")&amp;IF($P$26+$P$40+$P$54&gt;0,"J2 ","")&amp;IF($Q$26+$Q$40+$Q$54&gt;0,"J3 ","")&amp;IF($R$26+$R$40+$R$54&gt;0,"J4 ","")&amp;IF($S$26+$S$40+$S$54&gt;0,"J5 ","")&amp;IF($T$26+$T$40+$T$54&gt;0,"J6 ","")&amp;IF($U$26+$U$40+$U$54&gt;0,"J7 ",""))," ",", "))</f>
        <v>J1, J2, J3, J4, J5</v>
      </c>
      <c r="E28" s="34" t="n">
        <f aca="false">SUM($O$26:$U$26)+SUM($O$40:$U$40)+SUM($O$54:$U$54)</f>
        <v>6</v>
      </c>
      <c r="F28" s="34" t="n">
        <f aca="false">$C$21</f>
        <v>5</v>
      </c>
      <c r="G28" s="35" t="n">
        <f aca="false">I28+J28</f>
        <v>26</v>
      </c>
      <c r="H28" s="36" t="str">
        <f aca="false">IF(COUNTIFS($B$46:$B$125,$B28,$C$46:$C$125,$C$4)&gt;0,$C$4,"TOUS")</f>
        <v>TOUS</v>
      </c>
      <c r="I28" s="34" t="n">
        <f aca="false">SUMPRODUCT($C$20:$I$20,$O$26:$U$26)+SUMPRODUCT($C$20:$I$20,$O$40:$U$40)+SUMPRODUCT($C$20:$I$20,$O$54:$U$54)</f>
        <v>26</v>
      </c>
      <c r="J28" s="34" t="n">
        <f aca="false">SUMIFS($E$133:$E$172,$C$133:$C$172,$B28,$B$133:$B$172,"&gt;="&amp;$O$4,$B$133:$B$172,"&lt;="&amp;$O$5)</f>
        <v>0</v>
      </c>
      <c r="K28" s="26" t="n">
        <f aca="false">SUMPRODUCT($C$20:$I$20,$O$26:$U$26)+SUMIFS($E$133:$E$172,$C$133:$C$172,$B28,$D$133:$D$172,"77W",$B$133:$B$172,"&gt;="&amp;$O$4,$B$133:$B$172,"&lt;="&amp;$O$5)</f>
        <v>0</v>
      </c>
      <c r="L28" s="26" t="n">
        <f aca="false">SUMPRODUCT($C$20:$I$20,$O$40:$U$40)+SUMIFS($E$133:$E$172,$C$133:$C$172,$B28,$D$133:$D$172,"778",$B$133:$B$172,"&gt;="&amp;$O$4,$B$133:$B$172,"&lt;="&amp;$O$5)</f>
        <v>4</v>
      </c>
      <c r="M28" s="26" t="n">
        <f aca="false">SUMPRODUCT($C$20:$I$20,$O$54:$U$54)+SUMIFS($E$133:$E$172,$C$133:$C$172,$B28,$D$133:$D$172,"A320",$B$133:$B$172,"&gt;="&amp;$O$4,$B$133:$B$172,"&lt;="&amp;$O$5)</f>
        <v>22</v>
      </c>
      <c r="N28" s="10" t="str">
        <f aca="false">$B30</f>
        <v>NOSRUN</v>
      </c>
      <c r="O28" s="31" t="n">
        <f aca="false">COUNTIFS($B$46:$B$125,$B30,$C$46:$C$125,$H30,$D$46:$D$125,"77W")</f>
        <v>0</v>
      </c>
      <c r="P28" s="31" t="n">
        <f aca="false">COUNTIFS($B$46:$B$125,$B30,$C$46:$C$125,$H30,$E$46:$E$125,"77W")</f>
        <v>0</v>
      </c>
      <c r="Q28" s="31" t="n">
        <f aca="false">COUNTIFS($B$46:$B$125,$B30,$C$46:$C$125,$H30,$F$46:$F$125,"77W")</f>
        <v>0</v>
      </c>
      <c r="R28" s="31" t="n">
        <f aca="false">COUNTIFS($B$46:$B$125,$B30,$C$46:$C$125,$H30,$G$46:$G$125,"77W")</f>
        <v>0</v>
      </c>
      <c r="S28" s="31" t="n">
        <f aca="false">COUNTIFS($B$46:$B$125,$B30,$C$46:$C$125,$H30,$H$46:$H$125,"77W")</f>
        <v>0</v>
      </c>
      <c r="T28" s="31" t="n">
        <f aca="false">COUNTIFS($B$46:$B$125,$B30,$C$46:$C$125,$H30,$I$46:$I$125,"77W")</f>
        <v>0</v>
      </c>
      <c r="U28" s="31" t="n">
        <f aca="false">COUNTIFS($B$46:$B$125,$B30,$C$46:$C$125,$H30,$J$46:$J$125,"77W")</f>
        <v>0</v>
      </c>
    </row>
    <row r="29" customFormat="false" ht="24" hidden="false" customHeight="true" outlineLevel="0" collapsed="false">
      <c r="B29" s="18" t="str">
        <f aca="false">$Z$8</f>
        <v>MRURUN</v>
      </c>
      <c r="C29" s="33" t="str">
        <f aca="false">IF(E29=0,"-",SUBSTITUTE(TRIM(IF(SUM($O$27:$U$27)&gt;0,"77W("&amp;SUM($O$27:$U$27)&amp;") ","")&amp;IF(SUM($O$41:$U$41)&gt;0,"778("&amp;SUM($O$41:$U$41)&amp;") ","")&amp;IF(SUM($O$55:$U$55)&gt;0,"A320("&amp;SUM($O$55:$U$55)&amp;") ",""))," ",", "))</f>
        <v>A320(4)</v>
      </c>
      <c r="D29" s="33" t="str">
        <f aca="false">IF(E29=0,"aucune operation",SUBSTITUTE(TRIM(IF($O$27+$O$41+$O$55&gt;0,"J1 ","")&amp;IF($P$27+$P$41+$P$55&gt;0,"J2 ","")&amp;IF($Q$27+$Q$41+$Q$55&gt;0,"J3 ","")&amp;IF($R$27+$R$41+$R$55&gt;0,"J4 ","")&amp;IF($S$27+$S$41+$S$55&gt;0,"J5 ","")&amp;IF($T$27+$T$41+$T$55&gt;0,"J6 ","")&amp;IF($U$27+$U$41+$U$55&gt;0,"J7 ",""))," ",", "))</f>
        <v>J1, J3, J5, J7</v>
      </c>
      <c r="E29" s="34" t="n">
        <f aca="false">SUM($O$27:$U$27)+SUM($O$41:$U$41)+SUM($O$55:$U$55)</f>
        <v>4</v>
      </c>
      <c r="F29" s="34" t="n">
        <f aca="false">$C$21</f>
        <v>5</v>
      </c>
      <c r="G29" s="35" t="n">
        <f aca="false">I29+J29</f>
        <v>17</v>
      </c>
      <c r="H29" s="36" t="str">
        <f aca="false">IF(COUNTIFS($B$46:$B$125,$B29,$C$46:$C$125,$C$4)&gt;0,$C$4,"TOUS")</f>
        <v>TOUS</v>
      </c>
      <c r="I29" s="34" t="n">
        <f aca="false">SUMPRODUCT($C$20:$I$20,$O$27:$U$27)+SUMPRODUCT($C$20:$I$20,$O$41:$U$41)+SUMPRODUCT($C$20:$I$20,$O$55:$U$55)</f>
        <v>17</v>
      </c>
      <c r="J29" s="34" t="n">
        <f aca="false">SUMIFS($E$133:$E$172,$C$133:$C$172,$B29,$B$133:$B$172,"&gt;="&amp;$O$4,$B$133:$B$172,"&lt;="&amp;$O$5)</f>
        <v>0</v>
      </c>
      <c r="K29" s="26" t="n">
        <f aca="false">SUMPRODUCT($C$20:$I$20,$O$27:$U$27)+SUMIFS($E$133:$E$172,$C$133:$C$172,$B29,$D$133:$D$172,"77W",$B$133:$B$172,"&gt;="&amp;$O$4,$B$133:$B$172,"&lt;="&amp;$O$5)</f>
        <v>0</v>
      </c>
      <c r="L29" s="26" t="n">
        <f aca="false">SUMPRODUCT($C$20:$I$20,$O$41:$U$41)+SUMIFS($E$133:$E$172,$C$133:$C$172,$B29,$D$133:$D$172,"778",$B$133:$B$172,"&gt;="&amp;$O$4,$B$133:$B$172,"&lt;="&amp;$O$5)</f>
        <v>0</v>
      </c>
      <c r="M29" s="26" t="n">
        <f aca="false">SUMPRODUCT($C$20:$I$20,$O$55:$U$55)+SUMIFS($E$133:$E$172,$C$133:$C$172,$B29,$D$133:$D$172,"A320",$B$133:$B$172,"&gt;="&amp;$O$4,$B$133:$B$172,"&lt;="&amp;$O$5)</f>
        <v>17</v>
      </c>
      <c r="N29" s="10" t="str">
        <f aca="false">$B31</f>
        <v>RUNTNR</v>
      </c>
      <c r="O29" s="31" t="n">
        <f aca="false">COUNTIFS($B$46:$B$125,$B31,$C$46:$C$125,$H31,$D$46:$D$125,"77W")</f>
        <v>0</v>
      </c>
      <c r="P29" s="31" t="n">
        <f aca="false">COUNTIFS($B$46:$B$125,$B31,$C$46:$C$125,$H31,$E$46:$E$125,"77W")</f>
        <v>0</v>
      </c>
      <c r="Q29" s="31" t="n">
        <f aca="false">COUNTIFS($B$46:$B$125,$B31,$C$46:$C$125,$H31,$F$46:$F$125,"77W")</f>
        <v>0</v>
      </c>
      <c r="R29" s="31" t="n">
        <f aca="false">COUNTIFS($B$46:$B$125,$B31,$C$46:$C$125,$H31,$G$46:$G$125,"77W")</f>
        <v>0</v>
      </c>
      <c r="S29" s="31" t="n">
        <f aca="false">COUNTIFS($B$46:$B$125,$B31,$C$46:$C$125,$H31,$H$46:$H$125,"77W")</f>
        <v>0</v>
      </c>
      <c r="T29" s="31" t="n">
        <f aca="false">COUNTIFS($B$46:$B$125,$B31,$C$46:$C$125,$H31,$I$46:$I$125,"77W")</f>
        <v>0</v>
      </c>
      <c r="U29" s="31" t="n">
        <f aca="false">COUNTIFS($B$46:$B$125,$B31,$C$46:$C$125,$H31,$J$46:$J$125,"77W")</f>
        <v>0</v>
      </c>
    </row>
    <row r="30" customFormat="false" ht="24" hidden="false" customHeight="true" outlineLevel="0" collapsed="false">
      <c r="B30" s="18" t="str">
        <f aca="false">$Z$9</f>
        <v>NOSRUN</v>
      </c>
      <c r="C30" s="33" t="str">
        <f aca="false">IF(E30=0,"-",SUBSTITUTE(TRIM(IF(SUM($O$28:$U$28)&gt;0,"77W("&amp;SUM($O$28:$U$28)&amp;") ","")&amp;IF(SUM($O$42:$U$42)&gt;0,"778("&amp;SUM($O$42:$U$42)&amp;") ","")&amp;IF(SUM($O$56:$U$56)&gt;0,"A320("&amp;SUM($O$56:$U$56)&amp;") ",""))," ",", "))</f>
        <v>A320(3)</v>
      </c>
      <c r="D30" s="33" t="str">
        <f aca="false">IF(E30=0,"aucune operation",SUBSTITUTE(TRIM(IF($O$28+$O$42+$O$56&gt;0,"J1 ","")&amp;IF($P$28+$P$42+$P$56&gt;0,"J2 ","")&amp;IF($Q$28+$Q$42+$Q$56&gt;0,"J3 ","")&amp;IF($R$28+$R$42+$R$56&gt;0,"J4 ","")&amp;IF($S$28+$S$42+$S$56&gt;0,"J5 ","")&amp;IF($T$28+$T$42+$T$56&gt;0,"J6 ","")&amp;IF($U$28+$U$42+$U$56&gt;0,"J7 ",""))," ",", "))</f>
        <v>J1, J4, J6</v>
      </c>
      <c r="E30" s="34" t="n">
        <f aca="false">SUM($O$28:$U$28)+SUM($O$42:$U$42)+SUM($O$56:$U$56)</f>
        <v>3</v>
      </c>
      <c r="F30" s="34" t="n">
        <f aca="false">$C$21</f>
        <v>5</v>
      </c>
      <c r="G30" s="35" t="n">
        <f aca="false">I30+J30</f>
        <v>15</v>
      </c>
      <c r="H30" s="36" t="str">
        <f aca="false">IF(COUNTIFS($B$46:$B$125,$B30,$C$46:$C$125,$C$4)&gt;0,$C$4,"TOUS")</f>
        <v>TOUS</v>
      </c>
      <c r="I30" s="34" t="n">
        <f aca="false">SUMPRODUCT($C$20:$I$20,$O$28:$U$28)+SUMPRODUCT($C$20:$I$20,$O$42:$U$42)+SUMPRODUCT($C$20:$I$20,$O$56:$U$56)</f>
        <v>13</v>
      </c>
      <c r="J30" s="34" t="n">
        <f aca="false">SUMIFS($E$133:$E$172,$C$133:$C$172,$B30,$B$133:$B$172,"&gt;="&amp;$O$4,$B$133:$B$172,"&lt;="&amp;$O$5)</f>
        <v>2</v>
      </c>
      <c r="K30" s="26" t="n">
        <f aca="false">SUMPRODUCT($C$20:$I$20,$O$28:$U$28)+SUMIFS($E$133:$E$172,$C$133:$C$172,$B30,$D$133:$D$172,"77W",$B$133:$B$172,"&gt;="&amp;$O$4,$B$133:$B$172,"&lt;="&amp;$O$5)</f>
        <v>0</v>
      </c>
      <c r="L30" s="26" t="n">
        <f aca="false">SUMPRODUCT($C$20:$I$20,$O$42:$U$42)+SUMIFS($E$133:$E$172,$C$133:$C$172,$B30,$D$133:$D$172,"778",$B$133:$B$172,"&gt;="&amp;$O$4,$B$133:$B$172,"&lt;="&amp;$O$5)</f>
        <v>0</v>
      </c>
      <c r="M30" s="26" t="n">
        <f aca="false">SUMPRODUCT($C$20:$I$20,$O$56:$U$56)+SUMIFS($E$133:$E$172,$C$133:$C$172,$B30,$D$133:$D$172,"A320",$B$133:$B$172,"&gt;="&amp;$O$4,$B$133:$B$172,"&lt;="&amp;$O$5)</f>
        <v>15</v>
      </c>
      <c r="N30" s="10" t="str">
        <f aca="false">$B32</f>
        <v>JNBRUN</v>
      </c>
      <c r="O30" s="31" t="n">
        <f aca="false">COUNTIFS($B$46:$B$125,$B32,$C$46:$C$125,$H32,$D$46:$D$125,"77W")</f>
        <v>0</v>
      </c>
      <c r="P30" s="31" t="n">
        <f aca="false">COUNTIFS($B$46:$B$125,$B32,$C$46:$C$125,$H32,$E$46:$E$125,"77W")</f>
        <v>0</v>
      </c>
      <c r="Q30" s="31" t="n">
        <f aca="false">COUNTIFS($B$46:$B$125,$B32,$C$46:$C$125,$H32,$F$46:$F$125,"77W")</f>
        <v>0</v>
      </c>
      <c r="R30" s="31" t="n">
        <f aca="false">COUNTIFS($B$46:$B$125,$B32,$C$46:$C$125,$H32,$G$46:$G$125,"77W")</f>
        <v>0</v>
      </c>
      <c r="S30" s="31" t="n">
        <f aca="false">COUNTIFS($B$46:$B$125,$B32,$C$46:$C$125,$H32,$H$46:$H$125,"77W")</f>
        <v>0</v>
      </c>
      <c r="T30" s="31" t="n">
        <f aca="false">COUNTIFS($B$46:$B$125,$B32,$C$46:$C$125,$H32,$I$46:$I$125,"77W")</f>
        <v>0</v>
      </c>
      <c r="U30" s="31" t="n">
        <f aca="false">COUNTIFS($B$46:$B$125,$B32,$C$46:$C$125,$H32,$J$46:$J$125,"77W")</f>
        <v>0</v>
      </c>
    </row>
    <row r="31" customFormat="false" ht="24" hidden="false" customHeight="true" outlineLevel="0" collapsed="false">
      <c r="B31" s="18" t="str">
        <f aca="false">$Z$10</f>
        <v>RUNTNR</v>
      </c>
      <c r="C31" s="33" t="str">
        <f aca="false">IF(E31=0,"-",SUBSTITUTE(TRIM(IF(SUM($O$29:$U$29)&gt;0,"77W("&amp;SUM($O$29:$U$29)&amp;") ","")&amp;IF(SUM($O$43:$U$43)&gt;0,"778("&amp;SUM($O$43:$U$43)&amp;") ","")&amp;IF(SUM($O$57:$U$57)&gt;0,"A320("&amp;SUM($O$57:$U$57)&amp;") ",""))," ",", "))</f>
        <v>A320(3)</v>
      </c>
      <c r="D31" s="33" t="str">
        <f aca="false">IF(E31=0,"aucune operation",SUBSTITUTE(TRIM(IF($O$29+$O$43+$O$57&gt;0,"J1 ","")&amp;IF($P$29+$P$43+$P$57&gt;0,"J2 ","")&amp;IF($Q$29+$Q$43+$Q$57&gt;0,"J3 ","")&amp;IF($R$29+$R$43+$R$57&gt;0,"J4 ","")&amp;IF($S$29+$S$43+$S$57&gt;0,"J5 ","")&amp;IF($T$29+$T$43+$T$57&gt;0,"J6 ","")&amp;IF($U$29+$U$43+$U$57&gt;0,"J7 ",""))," ",", "))</f>
        <v>J2, J4, J6</v>
      </c>
      <c r="E31" s="34" t="n">
        <f aca="false">SUM($O$29:$U$29)+SUM($O$43:$U$43)+SUM($O$57:$U$57)</f>
        <v>3</v>
      </c>
      <c r="F31" s="34" t="n">
        <f aca="false">$C$21</f>
        <v>5</v>
      </c>
      <c r="G31" s="35" t="n">
        <f aca="false">I31+J31</f>
        <v>13</v>
      </c>
      <c r="H31" s="36" t="str">
        <f aca="false">IF(COUNTIFS($B$46:$B$125,$B31,$C$46:$C$125,$C$4)&gt;0,$C$4,"TOUS")</f>
        <v>TOUS</v>
      </c>
      <c r="I31" s="34" t="n">
        <f aca="false">SUMPRODUCT($C$20:$I$20,$O$29:$U$29)+SUMPRODUCT($C$20:$I$20,$O$43:$U$43)+SUMPRODUCT($C$20:$I$20,$O$57:$U$57)</f>
        <v>13</v>
      </c>
      <c r="J31" s="34" t="n">
        <f aca="false">SUMIFS($E$133:$E$172,$C$133:$C$172,$B31,$B$133:$B$172,"&gt;="&amp;$O$4,$B$133:$B$172,"&lt;="&amp;$O$5)</f>
        <v>0</v>
      </c>
      <c r="K31" s="26" t="n">
        <f aca="false">SUMPRODUCT($C$20:$I$20,$O$29:$U$29)+SUMIFS($E$133:$E$172,$C$133:$C$172,$B31,$D$133:$D$172,"77W",$B$133:$B$172,"&gt;="&amp;$O$4,$B$133:$B$172,"&lt;="&amp;$O$5)</f>
        <v>0</v>
      </c>
      <c r="L31" s="26" t="n">
        <f aca="false">SUMPRODUCT($C$20:$I$20,$O$43:$U$43)+SUMIFS($E$133:$E$172,$C$133:$C$172,$B31,$D$133:$D$172,"778",$B$133:$B$172,"&gt;="&amp;$O$4,$B$133:$B$172,"&lt;="&amp;$O$5)</f>
        <v>0</v>
      </c>
      <c r="M31" s="26" t="n">
        <f aca="false">SUMPRODUCT($C$20:$I$20,$O$57:$U$57)+SUMIFS($E$133:$E$172,$C$133:$C$172,$B31,$D$133:$D$172,"A320",$B$133:$B$172,"&gt;="&amp;$O$4,$B$133:$B$172,"&lt;="&amp;$O$5)</f>
        <v>13</v>
      </c>
      <c r="N31" s="10" t="str">
        <f aca="false">$B33</f>
        <v>CPTRUN</v>
      </c>
      <c r="O31" s="31" t="n">
        <f aca="false">COUNTIFS($B$46:$B$125,$B33,$C$46:$C$125,$H33,$D$46:$D$125,"77W")</f>
        <v>0</v>
      </c>
      <c r="P31" s="31" t="n">
        <f aca="false">COUNTIFS($B$46:$B$125,$B33,$C$46:$C$125,$H33,$E$46:$E$125,"77W")</f>
        <v>0</v>
      </c>
      <c r="Q31" s="31" t="n">
        <f aca="false">COUNTIFS($B$46:$B$125,$B33,$C$46:$C$125,$H33,$F$46:$F$125,"77W")</f>
        <v>0</v>
      </c>
      <c r="R31" s="31" t="n">
        <f aca="false">COUNTIFS($B$46:$B$125,$B33,$C$46:$C$125,$H33,$G$46:$G$125,"77W")</f>
        <v>0</v>
      </c>
      <c r="S31" s="31" t="n">
        <f aca="false">COUNTIFS($B$46:$B$125,$B33,$C$46:$C$125,$H33,$H$46:$H$125,"77W")</f>
        <v>0</v>
      </c>
      <c r="T31" s="31" t="n">
        <f aca="false">COUNTIFS($B$46:$B$125,$B33,$C$46:$C$125,$H33,$I$46:$I$125,"77W")</f>
        <v>0</v>
      </c>
      <c r="U31" s="31" t="n">
        <f aca="false">COUNTIFS($B$46:$B$125,$B33,$C$46:$C$125,$H33,$J$46:$J$125,"77W")</f>
        <v>0</v>
      </c>
    </row>
    <row r="32" customFormat="false" ht="24" hidden="false" customHeight="true" outlineLevel="0" collapsed="false">
      <c r="B32" s="18" t="str">
        <f aca="false">$Z$11</f>
        <v>JNBRUN</v>
      </c>
      <c r="C32" s="33" t="str">
        <f aca="false">IF(E32=0,"-",SUBSTITUTE(TRIM(IF(SUM($O$30:$U$30)&gt;0,"77W("&amp;SUM($O$30:$U$30)&amp;") ","")&amp;IF(SUM($O$44:$U$44)&gt;0,"778("&amp;SUM($O$44:$U$44)&amp;") ","")&amp;IF(SUM($O$58:$U$58)&gt;0,"A320("&amp;SUM($O$58:$U$58)&amp;") ",""))," ",", "))</f>
        <v>778(2)</v>
      </c>
      <c r="D32" s="33" t="str">
        <f aca="false">IF(E32=0,"aucune operation",SUBSTITUTE(TRIM(IF($O$30+$O$44+$O$58&gt;0,"J1 ","")&amp;IF($P$30+$P$44+$P$58&gt;0,"J2 ","")&amp;IF($Q$30+$Q$44+$Q$58&gt;0,"J3 ","")&amp;IF($R$30+$R$44+$R$58&gt;0,"J4 ","")&amp;IF($S$30+$S$44+$S$58&gt;0,"J5 ","")&amp;IF($T$30+$T$44+$T$58&gt;0,"J6 ","")&amp;IF($U$30+$U$44+$U$58&gt;0,"J7 ",""))," ",", "))</f>
        <v>J1, J5</v>
      </c>
      <c r="E32" s="34" t="n">
        <f aca="false">SUM($O$30:$U$30)+SUM($O$44:$U$44)+SUM($O$58:$U$58)</f>
        <v>2</v>
      </c>
      <c r="F32" s="34" t="n">
        <f aca="false">$C$21</f>
        <v>5</v>
      </c>
      <c r="G32" s="35" t="n">
        <f aca="false">I32+J32</f>
        <v>9</v>
      </c>
      <c r="H32" s="36" t="str">
        <f aca="false">IF(COUNTIFS($B$46:$B$125,$B32,$C$46:$C$125,$C$4)&gt;0,$C$4,"TOUS")</f>
        <v>TOUS</v>
      </c>
      <c r="I32" s="34" t="n">
        <f aca="false">SUMPRODUCT($C$20:$I$20,$O$30:$U$30)+SUMPRODUCT($C$20:$I$20,$O$44:$U$44)+SUMPRODUCT($C$20:$I$20,$O$58:$U$58)</f>
        <v>9</v>
      </c>
      <c r="J32" s="34" t="n">
        <f aca="false">SUMIFS($E$133:$E$172,$C$133:$C$172,$B32,$B$133:$B$172,"&gt;="&amp;$O$4,$B$133:$B$172,"&lt;="&amp;$O$5)</f>
        <v>0</v>
      </c>
      <c r="K32" s="26" t="n">
        <f aca="false">SUMPRODUCT($C$20:$I$20,$O$30:$U$30)+SUMIFS($E$133:$E$172,$C$133:$C$172,$B32,$D$133:$D$172,"77W",$B$133:$B$172,"&gt;="&amp;$O$4,$B$133:$B$172,"&lt;="&amp;$O$5)</f>
        <v>0</v>
      </c>
      <c r="L32" s="26" t="n">
        <f aca="false">SUMPRODUCT($C$20:$I$20,$O$44:$U$44)+SUMIFS($E$133:$E$172,$C$133:$C$172,$B32,$D$133:$D$172,"778",$B$133:$B$172,"&gt;="&amp;$O$4,$B$133:$B$172,"&lt;="&amp;$O$5)</f>
        <v>9</v>
      </c>
      <c r="M32" s="26" t="n">
        <f aca="false">SUMPRODUCT($C$20:$I$20,$O$58:$U$58)+SUMIFS($E$133:$E$172,$C$133:$C$172,$B32,$D$133:$D$172,"A320",$B$133:$B$172,"&gt;="&amp;$O$4,$B$133:$B$172,"&lt;="&amp;$O$5)</f>
        <v>0</v>
      </c>
      <c r="N32" s="10" t="str">
        <f aca="false">$B34</f>
        <v>DIERUN</v>
      </c>
      <c r="O32" s="31" t="n">
        <f aca="false">COUNTIFS($B$46:$B$125,$B34,$C$46:$C$125,$H34,$D$46:$D$125,"77W")</f>
        <v>0</v>
      </c>
      <c r="P32" s="31" t="n">
        <f aca="false">COUNTIFS($B$46:$B$125,$B34,$C$46:$C$125,$H34,$E$46:$E$125,"77W")</f>
        <v>0</v>
      </c>
      <c r="Q32" s="31" t="n">
        <f aca="false">COUNTIFS($B$46:$B$125,$B34,$C$46:$C$125,$H34,$F$46:$F$125,"77W")</f>
        <v>0</v>
      </c>
      <c r="R32" s="31" t="n">
        <f aca="false">COUNTIFS($B$46:$B$125,$B34,$C$46:$C$125,$H34,$G$46:$G$125,"77W")</f>
        <v>0</v>
      </c>
      <c r="S32" s="31" t="n">
        <f aca="false">COUNTIFS($B$46:$B$125,$B34,$C$46:$C$125,$H34,$H$46:$H$125,"77W")</f>
        <v>0</v>
      </c>
      <c r="T32" s="31" t="n">
        <f aca="false">COUNTIFS($B$46:$B$125,$B34,$C$46:$C$125,$H34,$I$46:$I$125,"77W")</f>
        <v>0</v>
      </c>
      <c r="U32" s="31" t="n">
        <f aca="false">COUNTIFS($B$46:$B$125,$B34,$C$46:$C$125,$H34,$J$46:$J$125,"77W")</f>
        <v>0</v>
      </c>
    </row>
    <row r="33" customFormat="false" ht="24" hidden="false" customHeight="true" outlineLevel="0" collapsed="false">
      <c r="B33" s="18" t="str">
        <f aca="false">$Z$12</f>
        <v>CPTRUN</v>
      </c>
      <c r="C33" s="33" t="str">
        <f aca="false">IF(E33=0,"-",SUBSTITUTE(TRIM(IF(SUM($O$31:$U$31)&gt;0,"77W("&amp;SUM($O$31:$U$31)&amp;") ","")&amp;IF(SUM($O$45:$U$45)&gt;0,"778("&amp;SUM($O$45:$U$45)&amp;") ","")&amp;IF(SUM($O$59:$U$59)&gt;0,"A320("&amp;SUM($O$59:$U$59)&amp;") ",""))," ",", "))</f>
        <v>778(1)</v>
      </c>
      <c r="D33" s="33" t="str">
        <f aca="false">IF(E33=0,"aucune operation",SUBSTITUTE(TRIM(IF($O$31+$O$45+$O$59&gt;0,"J1 ","")&amp;IF($P$31+$P$45+$P$59&gt;0,"J2 ","")&amp;IF($Q$31+$Q$45+$Q$59&gt;0,"J3 ","")&amp;IF($R$31+$R$45+$R$59&gt;0,"J4 ","")&amp;IF($S$31+$S$45+$S$59&gt;0,"J5 ","")&amp;IF($T$31+$T$45+$T$59&gt;0,"J6 ","")&amp;IF($U$31+$U$45+$U$59&gt;0,"J7 ",""))," ",", "))</f>
        <v>J4</v>
      </c>
      <c r="E33" s="34" t="n">
        <f aca="false">SUM($O$31:$U$31)+SUM($O$45:$U$45)+SUM($O$59:$U$59)</f>
        <v>1</v>
      </c>
      <c r="F33" s="34" t="n">
        <f aca="false">$C$21</f>
        <v>5</v>
      </c>
      <c r="G33" s="35" t="n">
        <f aca="false">I33+J33</f>
        <v>5</v>
      </c>
      <c r="H33" s="36" t="str">
        <f aca="false">IF(COUNTIFS($B$46:$B$125,$B33,$C$46:$C$125,$C$4)&gt;0,$C$4,"TOUS")</f>
        <v>TOUS</v>
      </c>
      <c r="I33" s="34" t="n">
        <f aca="false">SUMPRODUCT($C$20:$I$20,$O$31:$U$31)+SUMPRODUCT($C$20:$I$20,$O$45:$U$45)+SUMPRODUCT($C$20:$I$20,$O$59:$U$59)</f>
        <v>5</v>
      </c>
      <c r="J33" s="34" t="n">
        <f aca="false">SUMIFS($E$133:$E$172,$C$133:$C$172,$B33,$B$133:$B$172,"&gt;="&amp;$O$4,$B$133:$B$172,"&lt;="&amp;$O$5)</f>
        <v>0</v>
      </c>
      <c r="K33" s="26" t="n">
        <f aca="false">SUMPRODUCT($C$20:$I$20,$O$31:$U$31)+SUMIFS($E$133:$E$172,$C$133:$C$172,$B33,$D$133:$D$172,"77W",$B$133:$B$172,"&gt;="&amp;$O$4,$B$133:$B$172,"&lt;="&amp;$O$5)</f>
        <v>0</v>
      </c>
      <c r="L33" s="26" t="n">
        <f aca="false">SUMPRODUCT($C$20:$I$20,$O$45:$U$45)+SUMIFS($E$133:$E$172,$C$133:$C$172,$B33,$D$133:$D$172,"778",$B$133:$B$172,"&gt;="&amp;$O$4,$B$133:$B$172,"&lt;="&amp;$O$5)</f>
        <v>5</v>
      </c>
      <c r="M33" s="26" t="n">
        <f aca="false">SUMPRODUCT($C$20:$I$20,$O$59:$U$59)+SUMIFS($E$133:$E$172,$C$133:$C$172,$B33,$D$133:$D$172,"A320",$B$133:$B$172,"&gt;="&amp;$O$4,$B$133:$B$172,"&lt;="&amp;$O$5)</f>
        <v>0</v>
      </c>
      <c r="N33" s="10" t="str">
        <f aca="false">$B35</f>
        <v>RRGRUN</v>
      </c>
      <c r="O33" s="31" t="n">
        <f aca="false">COUNTIFS($B$46:$B$125,$B35,$C$46:$C$125,$H35,$D$46:$D$125,"77W")</f>
        <v>0</v>
      </c>
      <c r="P33" s="31" t="n">
        <f aca="false">COUNTIFS($B$46:$B$125,$B35,$C$46:$C$125,$H35,$E$46:$E$125,"77W")</f>
        <v>0</v>
      </c>
      <c r="Q33" s="31" t="n">
        <f aca="false">COUNTIFS($B$46:$B$125,$B35,$C$46:$C$125,$H35,$F$46:$F$125,"77W")</f>
        <v>0</v>
      </c>
      <c r="R33" s="31" t="n">
        <f aca="false">COUNTIFS($B$46:$B$125,$B35,$C$46:$C$125,$H35,$G$46:$G$125,"77W")</f>
        <v>0</v>
      </c>
      <c r="S33" s="31" t="n">
        <f aca="false">COUNTIFS($B$46:$B$125,$B35,$C$46:$C$125,$H35,$H$46:$H$125,"77W")</f>
        <v>0</v>
      </c>
      <c r="T33" s="31" t="n">
        <f aca="false">COUNTIFS($B$46:$B$125,$B35,$C$46:$C$125,$H35,$I$46:$I$125,"77W")</f>
        <v>0</v>
      </c>
      <c r="U33" s="31" t="n">
        <f aca="false">COUNTIFS($B$46:$B$125,$B35,$C$46:$C$125,$H35,$J$46:$J$125,"77W")</f>
        <v>0</v>
      </c>
    </row>
    <row r="34" customFormat="false" ht="24" hidden="false" customHeight="true" outlineLevel="0" collapsed="false">
      <c r="B34" s="18" t="str">
        <f aca="false">$Z$13</f>
        <v>DIERUN</v>
      </c>
      <c r="C34" s="33" t="str">
        <f aca="false">IF(E34=0,"-",SUBSTITUTE(TRIM(IF(SUM($O$32:$U$32)&gt;0,"77W("&amp;SUM($O$32:$U$32)&amp;") ","")&amp;IF(SUM($O$46:$U$46)&gt;0,"778("&amp;SUM($O$46:$U$46)&amp;") ","")&amp;IF(SUM($O$60:$U$60)&gt;0,"A320("&amp;SUM($O$60:$U$60)&amp;") ",""))," ",", "))</f>
        <v>A320(2)</v>
      </c>
      <c r="D34" s="33" t="str">
        <f aca="false">IF(E34=0,"aucune operation",SUBSTITUTE(TRIM(IF($O$32+$O$46+$O$60&gt;0,"J1 ","")&amp;IF($P$32+$P$46+$P$60&gt;0,"J2 ","")&amp;IF($Q$32+$Q$46+$Q$60&gt;0,"J3 ","")&amp;IF($R$32+$R$46+$R$60&gt;0,"J4 ","")&amp;IF($S$32+$S$46+$S$60&gt;0,"J5 ","")&amp;IF($T$32+$T$46+$T$60&gt;0,"J6 ","")&amp;IF($U$32+$U$46+$U$60&gt;0,"J7 ",""))," ",", "))</f>
        <v>J2, J6</v>
      </c>
      <c r="E34" s="34" t="n">
        <f aca="false">SUM($O$32:$U$32)+SUM($O$46:$U$46)+SUM($O$60:$U$60)</f>
        <v>2</v>
      </c>
      <c r="F34" s="34" t="n">
        <f aca="false">$C$21</f>
        <v>5</v>
      </c>
      <c r="G34" s="35" t="n">
        <f aca="false">I34+J34</f>
        <v>8</v>
      </c>
      <c r="H34" s="36" t="str">
        <f aca="false">IF(COUNTIFS($B$46:$B$125,$B34,$C$46:$C$125,$C$4)&gt;0,$C$4,"TOUS")</f>
        <v>TOUS</v>
      </c>
      <c r="I34" s="34" t="n">
        <f aca="false">SUMPRODUCT($C$20:$I$20,$O$32:$U$32)+SUMPRODUCT($C$20:$I$20,$O$46:$U$46)+SUMPRODUCT($C$20:$I$20,$O$60:$U$60)</f>
        <v>8</v>
      </c>
      <c r="J34" s="34" t="n">
        <f aca="false">SUMIFS($E$133:$E$172,$C$133:$C$172,$B34,$B$133:$B$172,"&gt;="&amp;$O$4,$B$133:$B$172,"&lt;="&amp;$O$5)</f>
        <v>0</v>
      </c>
      <c r="K34" s="26" t="n">
        <f aca="false">SUMPRODUCT($C$20:$I$20,$O$32:$U$32)+SUMIFS($E$133:$E$172,$C$133:$C$172,$B34,$D$133:$D$172,"77W",$B$133:$B$172,"&gt;="&amp;$O$4,$B$133:$B$172,"&lt;="&amp;$O$5)</f>
        <v>0</v>
      </c>
      <c r="L34" s="26" t="n">
        <f aca="false">SUMPRODUCT($C$20:$I$20,$O$46:$U$46)+SUMIFS($E$133:$E$172,$C$133:$C$172,$B34,$D$133:$D$172,"778",$B$133:$B$172,"&gt;="&amp;$O$4,$B$133:$B$172,"&lt;="&amp;$O$5)</f>
        <v>0</v>
      </c>
      <c r="M34" s="26" t="n">
        <f aca="false">SUMPRODUCT($C$20:$I$20,$O$60:$U$60)+SUMIFS($E$133:$E$172,$C$133:$C$172,$B34,$D$133:$D$172,"A320",$B$133:$B$172,"&gt;="&amp;$O$4,$B$133:$B$172,"&lt;="&amp;$O$5)</f>
        <v>8</v>
      </c>
      <c r="N34" s="10" t="str">
        <f aca="false">$B36</f>
        <v>TMMRUN</v>
      </c>
      <c r="O34" s="31" t="n">
        <f aca="false">COUNTIFS($B$46:$B$125,$B36,$C$46:$C$125,$H36,$D$46:$D$125,"77W")</f>
        <v>0</v>
      </c>
      <c r="P34" s="31" t="n">
        <f aca="false">COUNTIFS($B$46:$B$125,$B36,$C$46:$C$125,$H36,$E$46:$E$125,"77W")</f>
        <v>0</v>
      </c>
      <c r="Q34" s="31" t="n">
        <f aca="false">COUNTIFS($B$46:$B$125,$B36,$C$46:$C$125,$H36,$F$46:$F$125,"77W")</f>
        <v>0</v>
      </c>
      <c r="R34" s="31" t="n">
        <f aca="false">COUNTIFS($B$46:$B$125,$B36,$C$46:$C$125,$H36,$G$46:$G$125,"77W")</f>
        <v>0</v>
      </c>
      <c r="S34" s="31" t="n">
        <f aca="false">COUNTIFS($B$46:$B$125,$B36,$C$46:$C$125,$H36,$H$46:$H$125,"77W")</f>
        <v>0</v>
      </c>
      <c r="T34" s="31" t="n">
        <f aca="false">COUNTIFS($B$46:$B$125,$B36,$C$46:$C$125,$H36,$I$46:$I$125,"77W")</f>
        <v>0</v>
      </c>
      <c r="U34" s="31" t="n">
        <f aca="false">COUNTIFS($B$46:$B$125,$B36,$C$46:$C$125,$H36,$J$46:$J$125,"77W")</f>
        <v>0</v>
      </c>
    </row>
    <row r="35" customFormat="false" ht="24" hidden="false" customHeight="true" outlineLevel="0" collapsed="false">
      <c r="B35" s="18" t="str">
        <f aca="false">$Z$14</f>
        <v>RRGRUN</v>
      </c>
      <c r="C35" s="33" t="str">
        <f aca="false">IF(E35=0,"-",SUBSTITUTE(TRIM(IF(SUM($O$33:$U$33)&gt;0,"77W("&amp;SUM($O$33:$U$33)&amp;") ","")&amp;IF(SUM($O$47:$U$47)&gt;0,"778("&amp;SUM($O$47:$U$47)&amp;") ","")&amp;IF(SUM($O$61:$U$61)&gt;0,"A320("&amp;SUM($O$61:$U$61)&amp;") ",""))," ",", "))</f>
        <v>A320(8)</v>
      </c>
      <c r="D35" s="33" t="str">
        <f aca="false">IF(E35=0,"aucune operation",SUBSTITUTE(TRIM(IF($O$33+$O$47+$O$61&gt;0,"J1 ","")&amp;IF($P$33+$P$47+$P$61&gt;0,"J2 ","")&amp;IF($Q$33+$Q$47+$Q$61&gt;0,"J3 ","")&amp;IF($R$33+$R$47+$R$61&gt;0,"J4 ","")&amp;IF($S$33+$S$47+$S$61&gt;0,"J5 ","")&amp;IF($T$33+$T$47+$T$61&gt;0,"J6 ","")&amp;IF($U$33+$U$47+$U$61&gt;0,"J7 ",""))," ",", "))</f>
        <v>J1, J2, J3, J4, J5, J6</v>
      </c>
      <c r="E35" s="34" t="n">
        <f aca="false">SUM($O$33:$U$33)+SUM($O$47:$U$47)+SUM($O$61:$U$61)</f>
        <v>8</v>
      </c>
      <c r="F35" s="34" t="n">
        <f aca="false">$C$21</f>
        <v>5</v>
      </c>
      <c r="G35" s="35" t="n">
        <f aca="false">I35+J35</f>
        <v>36</v>
      </c>
      <c r="H35" s="36" t="str">
        <f aca="false">IF(COUNTIFS($B$46:$B$125,$B35,$C$46:$C$125,$C$4)&gt;0,$C$4,"TOUS")</f>
        <v>TOUS</v>
      </c>
      <c r="I35" s="34" t="n">
        <f aca="false">SUMPRODUCT($C$20:$I$20,$O$33:$U$33)+SUMPRODUCT($C$20:$I$20,$O$47:$U$47)+SUMPRODUCT($C$20:$I$20,$O$61:$U$61)</f>
        <v>36</v>
      </c>
      <c r="J35" s="34" t="n">
        <f aca="false">SUMIFS($E$133:$E$172,$C$133:$C$172,$B35,$B$133:$B$172,"&gt;="&amp;$O$4,$B$133:$B$172,"&lt;="&amp;$O$5)</f>
        <v>0</v>
      </c>
      <c r="K35" s="26" t="n">
        <f aca="false">SUMPRODUCT($C$20:$I$20,$O$33:$U$33)+SUMIFS($E$133:$E$172,$C$133:$C$172,$B35,$D$133:$D$172,"77W",$B$133:$B$172,"&gt;="&amp;$O$4,$B$133:$B$172,"&lt;="&amp;$O$5)</f>
        <v>0</v>
      </c>
      <c r="L35" s="26" t="n">
        <f aca="false">SUMPRODUCT($C$20:$I$20,$O$47:$U$47)+SUMIFS($E$133:$E$172,$C$133:$C$172,$B35,$D$133:$D$172,"778",$B$133:$B$172,"&gt;="&amp;$O$4,$B$133:$B$172,"&lt;="&amp;$O$5)</f>
        <v>0</v>
      </c>
      <c r="M35" s="26" t="n">
        <f aca="false">SUMPRODUCT($C$20:$I$20,$O$61:$U$61)+SUMIFS($E$133:$E$172,$C$133:$C$172,$B35,$D$133:$D$172,"A320",$B$133:$B$172,"&gt;="&amp;$O$4,$B$133:$B$172,"&lt;="&amp;$O$5)</f>
        <v>36</v>
      </c>
    </row>
    <row r="36" customFormat="false" ht="24" hidden="false" customHeight="true" outlineLevel="0" collapsed="false">
      <c r="B36" s="18" t="str">
        <f aca="false">$Z$15</f>
        <v>TMMRUN</v>
      </c>
      <c r="C36" s="33" t="str">
        <f aca="false">IF(E36=0,"-",SUBSTITUTE(TRIM(IF(SUM($O$34:$U$34)&gt;0,"77W("&amp;SUM($O$34:$U$34)&amp;") ","")&amp;IF(SUM($O$48:$U$48)&gt;0,"778("&amp;SUM($O$48:$U$48)&amp;") ","")&amp;IF(SUM($O$62:$U$62)&gt;0,"A320("&amp;SUM($O$62:$U$62)&amp;") ",""))," ",", "))</f>
        <v>A320(2)</v>
      </c>
      <c r="D36" s="33" t="str">
        <f aca="false">IF(E36=0,"aucune operation",SUBSTITUTE(TRIM(IF($O$34+$O$48+$O$62&gt;0,"J1 ","")&amp;IF($P$34+$P$48+$P$62&gt;0,"J2 ","")&amp;IF($Q$34+$Q$48+$Q$62&gt;0,"J3 ","")&amp;IF($R$34+$R$48+$R$62&gt;0,"J4 ","")&amp;IF($S$34+$S$48+$S$62&gt;0,"J5 ","")&amp;IF($T$34+$T$48+$T$62&gt;0,"J6 ","")&amp;IF($U$34+$U$48+$U$62&gt;0,"J7 ",""))," ",", "))</f>
        <v>J3, J7</v>
      </c>
      <c r="E36" s="34" t="n">
        <f aca="false">SUM($O$34:$U$34)+SUM($O$48:$U$48)+SUM($O$62:$U$62)</f>
        <v>2</v>
      </c>
      <c r="F36" s="34" t="n">
        <f aca="false">$C$21</f>
        <v>5</v>
      </c>
      <c r="G36" s="35" t="n">
        <f aca="false">I36+J36</f>
        <v>8</v>
      </c>
      <c r="H36" s="36" t="str">
        <f aca="false">IF(COUNTIFS($B$46:$B$125,$B36,$C$46:$C$125,$C$4)&gt;0,$C$4,"TOUS")</f>
        <v>TOUS</v>
      </c>
      <c r="I36" s="34" t="n">
        <f aca="false">SUMPRODUCT($C$20:$I$20,$O$34:$U$34)+SUMPRODUCT($C$20:$I$20,$O$48:$U$48)+SUMPRODUCT($C$20:$I$20,$O$62:$U$62)</f>
        <v>8</v>
      </c>
      <c r="J36" s="34" t="n">
        <f aca="false">SUMIFS($E$133:$E$172,$C$133:$C$172,$B36,$B$133:$B$172,"&gt;="&amp;$O$4,$B$133:$B$172,"&lt;="&amp;$O$5)</f>
        <v>0</v>
      </c>
      <c r="K36" s="26" t="n">
        <f aca="false">SUMPRODUCT($C$20:$I$20,$O$34:$U$34)+SUMIFS($E$133:$E$172,$C$133:$C$172,$B36,$D$133:$D$172,"77W",$B$133:$B$172,"&gt;="&amp;$O$4,$B$133:$B$172,"&lt;="&amp;$O$5)</f>
        <v>0</v>
      </c>
      <c r="L36" s="26" t="n">
        <f aca="false">SUMPRODUCT($C$20:$I$20,$O$48:$U$48)+SUMIFS($E$133:$E$172,$C$133:$C$172,$B36,$D$133:$D$172,"778",$B$133:$B$172,"&gt;="&amp;$O$4,$B$133:$B$172,"&lt;="&amp;$O$5)</f>
        <v>0</v>
      </c>
      <c r="M36" s="26" t="n">
        <f aca="false">SUMPRODUCT($C$20:$I$20,$O$62:$U$62)+SUMIFS($E$133:$E$172,$C$133:$C$172,$B36,$D$133:$D$172,"A320",$B$133:$B$172,"&gt;="&amp;$O$4,$B$133:$B$172,"&lt;="&amp;$O$5)</f>
        <v>8</v>
      </c>
      <c r="N36" s="30" t="s">
        <v>92</v>
      </c>
      <c r="O36" s="30"/>
      <c r="P36" s="30"/>
      <c r="Q36" s="30"/>
      <c r="R36" s="30"/>
      <c r="S36" s="30"/>
      <c r="T36" s="30"/>
      <c r="U36" s="30"/>
    </row>
    <row r="37" customFormat="false" ht="15" hidden="false" customHeight="false" outlineLevel="0" collapsed="false">
      <c r="B37" s="37" t="s">
        <v>93</v>
      </c>
      <c r="C37" s="38"/>
      <c r="D37" s="38"/>
      <c r="E37" s="39" t="n">
        <f aca="false">SUM(E25:E36)</f>
        <v>46</v>
      </c>
      <c r="F37" s="39" t="n">
        <f aca="false">$C$21</f>
        <v>5</v>
      </c>
      <c r="G37" s="40" t="n">
        <f aca="false">SUM(G25:G36)</f>
        <v>203</v>
      </c>
      <c r="H37" s="38"/>
      <c r="I37" s="39" t="n">
        <f aca="false">SUM(I25:I36)</f>
        <v>199</v>
      </c>
      <c r="J37" s="39" t="n">
        <f aca="false">SUM(J25:J36)</f>
        <v>4</v>
      </c>
      <c r="K37" s="39" t="n">
        <f aca="false">SUM(K25:K36)</f>
        <v>34</v>
      </c>
      <c r="L37" s="39" t="n">
        <f aca="false">SUM(L25:L36)</f>
        <v>46</v>
      </c>
      <c r="M37" s="39" t="n">
        <f aca="false">SUM(M25:M36)</f>
        <v>123</v>
      </c>
      <c r="N37" s="10" t="str">
        <f aca="false">$B25</f>
        <v>CDGRUN</v>
      </c>
      <c r="O37" s="31" t="n">
        <f aca="false">COUNTIFS($B$46:$B$125,$B25,$C$46:$C$125,$H25,$D$46:$D$125,"778")</f>
        <v>1</v>
      </c>
      <c r="P37" s="31" t="n">
        <f aca="false">COUNTIFS($B$46:$B$125,$B25,$C$46:$C$125,$H25,$E$46:$E$125,"778")</f>
        <v>0</v>
      </c>
      <c r="Q37" s="31" t="n">
        <f aca="false">COUNTIFS($B$46:$B$125,$B25,$C$46:$C$125,$H25,$F$46:$F$125,"778")</f>
        <v>0</v>
      </c>
      <c r="R37" s="31" t="n">
        <f aca="false">COUNTIFS($B$46:$B$125,$B25,$C$46:$C$125,$H25,$G$46:$G$125,"778")</f>
        <v>0</v>
      </c>
      <c r="S37" s="31" t="n">
        <f aca="false">COUNTIFS($B$46:$B$125,$B25,$C$46:$C$125,$H25,$H$46:$H$125,"778")</f>
        <v>1</v>
      </c>
      <c r="T37" s="31" t="n">
        <f aca="false">COUNTIFS($B$46:$B$125,$B25,$C$46:$C$125,$H25,$I$46:$I$125,"778")</f>
        <v>0</v>
      </c>
      <c r="U37" s="31" t="n">
        <f aca="false">COUNTIFS($B$46:$B$125,$B25,$C$46:$C$125,$H25,$J$46:$J$125,"778")</f>
        <v>0</v>
      </c>
    </row>
    <row r="38" customFormat="false" ht="15" hidden="false" customHeight="true" outlineLevel="0" collapsed="false">
      <c r="B38" s="41" t="s">
        <v>94</v>
      </c>
      <c r="C38" s="41"/>
      <c r="D38" s="41"/>
      <c r="E38" s="41"/>
      <c r="F38" s="41"/>
      <c r="G38" s="41"/>
      <c r="H38" s="41"/>
      <c r="I38" s="41"/>
      <c r="J38" s="41"/>
      <c r="K38" s="41"/>
      <c r="L38" s="41"/>
      <c r="M38" s="41"/>
      <c r="N38" s="10" t="str">
        <f aca="false">$B26</f>
        <v>CDGDZA</v>
      </c>
      <c r="O38" s="31" t="n">
        <f aca="false">COUNTIFS($B$46:$B$125,$B26,$C$46:$C$125,$H26,$D$46:$D$125,"778")</f>
        <v>0</v>
      </c>
      <c r="P38" s="31" t="n">
        <f aca="false">COUNTIFS($B$46:$B$125,$B26,$C$46:$C$125,$H26,$E$46:$E$125,"778")</f>
        <v>1</v>
      </c>
      <c r="Q38" s="31" t="n">
        <f aca="false">COUNTIFS($B$46:$B$125,$B26,$C$46:$C$125,$H26,$F$46:$F$125,"778")</f>
        <v>0</v>
      </c>
      <c r="R38" s="31" t="n">
        <f aca="false">COUNTIFS($B$46:$B$125,$B26,$C$46:$C$125,$H26,$G$46:$G$125,"778")</f>
        <v>0</v>
      </c>
      <c r="S38" s="31" t="n">
        <f aca="false">COUNTIFS($B$46:$B$125,$B26,$C$46:$C$125,$H26,$H$46:$H$125,"778")</f>
        <v>1</v>
      </c>
      <c r="T38" s="31" t="n">
        <f aca="false">COUNTIFS($B$46:$B$125,$B26,$C$46:$C$125,$H26,$I$46:$I$125,"778")</f>
        <v>0</v>
      </c>
      <c r="U38" s="31" t="n">
        <f aca="false">COUNTIFS($B$46:$B$125,$B26,$C$46:$C$125,$H26,$J$46:$J$125,"778")</f>
        <v>0</v>
      </c>
    </row>
    <row r="39" customFormat="false" ht="15" hidden="false" customHeight="false" outlineLevel="0" collapsed="false">
      <c r="B39" s="41"/>
      <c r="C39" s="41"/>
      <c r="D39" s="41"/>
      <c r="E39" s="41"/>
      <c r="F39" s="41"/>
      <c r="G39" s="41"/>
      <c r="H39" s="41"/>
      <c r="I39" s="41"/>
      <c r="J39" s="41"/>
      <c r="K39" s="41"/>
      <c r="L39" s="41"/>
      <c r="M39" s="41"/>
      <c r="N39" s="10" t="str">
        <f aca="false">$B27</f>
        <v>BKKRUN</v>
      </c>
      <c r="O39" s="31" t="n">
        <f aca="false">COUNTIFS($B$46:$B$125,$B27,$C$46:$C$125,$H27,$D$46:$D$125,"778")</f>
        <v>0</v>
      </c>
      <c r="P39" s="31" t="n">
        <f aca="false">COUNTIFS($B$46:$B$125,$B27,$C$46:$C$125,$H27,$E$46:$E$125,"778")</f>
        <v>0</v>
      </c>
      <c r="Q39" s="31" t="n">
        <f aca="false">COUNTIFS($B$46:$B$125,$B27,$C$46:$C$125,$H27,$F$46:$F$125,"778")</f>
        <v>1</v>
      </c>
      <c r="R39" s="31" t="n">
        <f aca="false">COUNTIFS($B$46:$B$125,$B27,$C$46:$C$125,$H27,$G$46:$G$125,"778")</f>
        <v>0</v>
      </c>
      <c r="S39" s="31" t="n">
        <f aca="false">COUNTIFS($B$46:$B$125,$B27,$C$46:$C$125,$H27,$H$46:$H$125,"778")</f>
        <v>0</v>
      </c>
      <c r="T39" s="31" t="n">
        <f aca="false">COUNTIFS($B$46:$B$125,$B27,$C$46:$C$125,$H27,$I$46:$I$125,"778")</f>
        <v>1</v>
      </c>
      <c r="U39" s="31" t="n">
        <f aca="false">COUNTIFS($B$46:$B$125,$B27,$C$46:$C$125,$H27,$J$46:$J$125,"778")</f>
        <v>0</v>
      </c>
    </row>
    <row r="40" customFormat="false" ht="15" hidden="false" customHeight="false" outlineLevel="0" collapsed="false">
      <c r="N40" s="10" t="str">
        <f aca="false">$B28</f>
        <v>DZARUN</v>
      </c>
      <c r="O40" s="31" t="n">
        <f aca="false">COUNTIFS($B$46:$B$125,$B28,$C$46:$C$125,$H28,$D$46:$D$125,"778")</f>
        <v>0</v>
      </c>
      <c r="P40" s="31" t="n">
        <f aca="false">COUNTIFS($B$46:$B$125,$B28,$C$46:$C$125,$H28,$E$46:$E$125,"778")</f>
        <v>0</v>
      </c>
      <c r="Q40" s="31" t="n">
        <f aca="false">COUNTIFS($B$46:$B$125,$B28,$C$46:$C$125,$H28,$F$46:$F$125,"778")</f>
        <v>1</v>
      </c>
      <c r="R40" s="31" t="n">
        <f aca="false">COUNTIFS($B$46:$B$125,$B28,$C$46:$C$125,$H28,$G$46:$G$125,"778")</f>
        <v>0</v>
      </c>
      <c r="S40" s="31" t="n">
        <f aca="false">COUNTIFS($B$46:$B$125,$B28,$C$46:$C$125,$H28,$H$46:$H$125,"778")</f>
        <v>0</v>
      </c>
      <c r="T40" s="31" t="n">
        <f aca="false">COUNTIFS($B$46:$B$125,$B28,$C$46:$C$125,$H28,$I$46:$I$125,"778")</f>
        <v>0</v>
      </c>
      <c r="U40" s="31" t="n">
        <f aca="false">COUNTIFS($B$46:$B$125,$B28,$C$46:$C$125,$H28,$J$46:$J$125,"778")</f>
        <v>0</v>
      </c>
    </row>
    <row r="41" customFormat="false" ht="15" hidden="false" customHeight="false" outlineLevel="0" collapsed="false">
      <c r="B41" s="42" t="s">
        <v>95</v>
      </c>
      <c r="C41" s="42"/>
      <c r="D41" s="42"/>
      <c r="E41" s="42"/>
      <c r="F41" s="42"/>
      <c r="G41" s="42"/>
      <c r="H41" s="42"/>
      <c r="I41" s="42"/>
      <c r="J41" s="42"/>
      <c r="K41" s="42"/>
      <c r="L41" s="42"/>
      <c r="N41" s="10" t="str">
        <f aca="false">$B29</f>
        <v>MRURUN</v>
      </c>
      <c r="O41" s="31" t="n">
        <f aca="false">COUNTIFS($B$46:$B$125,$B29,$C$46:$C$125,$H29,$D$46:$D$125,"778")</f>
        <v>0</v>
      </c>
      <c r="P41" s="31" t="n">
        <f aca="false">COUNTIFS($B$46:$B$125,$B29,$C$46:$C$125,$H29,$E$46:$E$125,"778")</f>
        <v>0</v>
      </c>
      <c r="Q41" s="31" t="n">
        <f aca="false">COUNTIFS($B$46:$B$125,$B29,$C$46:$C$125,$H29,$F$46:$F$125,"778")</f>
        <v>0</v>
      </c>
      <c r="R41" s="31" t="n">
        <f aca="false">COUNTIFS($B$46:$B$125,$B29,$C$46:$C$125,$H29,$G$46:$G$125,"778")</f>
        <v>0</v>
      </c>
      <c r="S41" s="31" t="n">
        <f aca="false">COUNTIFS($B$46:$B$125,$B29,$C$46:$C$125,$H29,$H$46:$H$125,"778")</f>
        <v>0</v>
      </c>
      <c r="T41" s="31" t="n">
        <f aca="false">COUNTIFS($B$46:$B$125,$B29,$C$46:$C$125,$H29,$I$46:$I$125,"778")</f>
        <v>0</v>
      </c>
      <c r="U41" s="31" t="n">
        <f aca="false">COUNTIFS($B$46:$B$125,$B29,$C$46:$C$125,$H29,$J$46:$J$125,"778")</f>
        <v>0</v>
      </c>
    </row>
    <row r="42" customFormat="false" ht="57.75" hidden="false" customHeight="true" outlineLevel="0" collapsed="false">
      <c r="B42" s="43" t="s">
        <v>96</v>
      </c>
      <c r="C42" s="43"/>
      <c r="D42" s="43"/>
      <c r="E42" s="43"/>
      <c r="F42" s="43"/>
      <c r="G42" s="43"/>
      <c r="H42" s="43"/>
      <c r="I42" s="43"/>
      <c r="J42" s="43"/>
      <c r="K42" s="43"/>
      <c r="L42" s="43"/>
      <c r="N42" s="10" t="str">
        <f aca="false">$B30</f>
        <v>NOSRUN</v>
      </c>
      <c r="O42" s="31" t="n">
        <f aca="false">COUNTIFS($B$46:$B$125,$B30,$C$46:$C$125,$H30,$D$46:$D$125,"778")</f>
        <v>0</v>
      </c>
      <c r="P42" s="31" t="n">
        <f aca="false">COUNTIFS($B$46:$B$125,$B30,$C$46:$C$125,$H30,$E$46:$E$125,"778")</f>
        <v>0</v>
      </c>
      <c r="Q42" s="31" t="n">
        <f aca="false">COUNTIFS($B$46:$B$125,$B30,$C$46:$C$125,$H30,$F$46:$F$125,"778")</f>
        <v>0</v>
      </c>
      <c r="R42" s="31" t="n">
        <f aca="false">COUNTIFS($B$46:$B$125,$B30,$C$46:$C$125,$H30,$G$46:$G$125,"778")</f>
        <v>0</v>
      </c>
      <c r="S42" s="31" t="n">
        <f aca="false">COUNTIFS($B$46:$B$125,$B30,$C$46:$C$125,$H30,$H$46:$H$125,"778")</f>
        <v>0</v>
      </c>
      <c r="T42" s="31" t="n">
        <f aca="false">COUNTIFS($B$46:$B$125,$B30,$C$46:$C$125,$H30,$I$46:$I$125,"778")</f>
        <v>0</v>
      </c>
      <c r="U42" s="31" t="n">
        <f aca="false">COUNTIFS($B$46:$B$125,$B30,$C$46:$C$125,$H30,$J$46:$J$125,"778")</f>
        <v>0</v>
      </c>
    </row>
    <row r="43" customFormat="false" ht="15" hidden="false" customHeight="false" outlineLevel="0" collapsed="false">
      <c r="B43" s="43"/>
      <c r="C43" s="43"/>
      <c r="D43" s="43"/>
      <c r="E43" s="43"/>
      <c r="F43" s="43"/>
      <c r="G43" s="43"/>
      <c r="H43" s="43"/>
      <c r="I43" s="43"/>
      <c r="J43" s="43"/>
      <c r="K43" s="43"/>
      <c r="L43" s="43"/>
      <c r="N43" s="10" t="str">
        <f aca="false">$B31</f>
        <v>RUNTNR</v>
      </c>
      <c r="O43" s="31" t="n">
        <f aca="false">COUNTIFS($B$46:$B$125,$B31,$C$46:$C$125,$H31,$D$46:$D$125,"778")</f>
        <v>0</v>
      </c>
      <c r="P43" s="31" t="n">
        <f aca="false">COUNTIFS($B$46:$B$125,$B31,$C$46:$C$125,$H31,$E$46:$E$125,"778")</f>
        <v>0</v>
      </c>
      <c r="Q43" s="31" t="n">
        <f aca="false">COUNTIFS($B$46:$B$125,$B31,$C$46:$C$125,$H31,$F$46:$F$125,"778")</f>
        <v>0</v>
      </c>
      <c r="R43" s="31" t="n">
        <f aca="false">COUNTIFS($B$46:$B$125,$B31,$C$46:$C$125,$H31,$G$46:$G$125,"778")</f>
        <v>0</v>
      </c>
      <c r="S43" s="31" t="n">
        <f aca="false">COUNTIFS($B$46:$B$125,$B31,$C$46:$C$125,$H31,$H$46:$H$125,"778")</f>
        <v>0</v>
      </c>
      <c r="T43" s="31" t="n">
        <f aca="false">COUNTIFS($B$46:$B$125,$B31,$C$46:$C$125,$H31,$I$46:$I$125,"778")</f>
        <v>0</v>
      </c>
      <c r="U43" s="31" t="n">
        <f aca="false">COUNTIFS($B$46:$B$125,$B31,$C$46:$C$125,$H31,$J$46:$J$125,"778")</f>
        <v>0</v>
      </c>
    </row>
    <row r="44" customFormat="false" ht="15" hidden="false" customHeight="false" outlineLevel="0" collapsed="false">
      <c r="B44" s="43"/>
      <c r="C44" s="43"/>
      <c r="D44" s="43"/>
      <c r="E44" s="43"/>
      <c r="F44" s="43"/>
      <c r="G44" s="43"/>
      <c r="H44" s="43"/>
      <c r="I44" s="43"/>
      <c r="J44" s="43"/>
      <c r="K44" s="43"/>
      <c r="L44" s="43"/>
      <c r="N44" s="10" t="str">
        <f aca="false">$B32</f>
        <v>JNBRUN</v>
      </c>
      <c r="O44" s="31" t="n">
        <f aca="false">COUNTIFS($B$46:$B$125,$B32,$C$46:$C$125,$H32,$D$46:$D$125,"778")</f>
        <v>1</v>
      </c>
      <c r="P44" s="31" t="n">
        <f aca="false">COUNTIFS($B$46:$B$125,$B32,$C$46:$C$125,$H32,$E$46:$E$125,"778")</f>
        <v>0</v>
      </c>
      <c r="Q44" s="31" t="n">
        <f aca="false">COUNTIFS($B$46:$B$125,$B32,$C$46:$C$125,$H32,$F$46:$F$125,"778")</f>
        <v>0</v>
      </c>
      <c r="R44" s="31" t="n">
        <f aca="false">COUNTIFS($B$46:$B$125,$B32,$C$46:$C$125,$H32,$G$46:$G$125,"778")</f>
        <v>0</v>
      </c>
      <c r="S44" s="31" t="n">
        <f aca="false">COUNTIFS($B$46:$B$125,$B32,$C$46:$C$125,$H32,$H$46:$H$125,"778")</f>
        <v>1</v>
      </c>
      <c r="T44" s="31" t="n">
        <f aca="false">COUNTIFS($B$46:$B$125,$B32,$C$46:$C$125,$H32,$I$46:$I$125,"778")</f>
        <v>0</v>
      </c>
      <c r="U44" s="31" t="n">
        <f aca="false">COUNTIFS($B$46:$B$125,$B32,$C$46:$C$125,$H32,$J$46:$J$125,"778")</f>
        <v>0</v>
      </c>
    </row>
    <row r="45" customFormat="false" ht="27.75" hidden="false" customHeight="true" outlineLevel="0" collapsed="false">
      <c r="B45" s="44" t="s">
        <v>80</v>
      </c>
      <c r="C45" s="44" t="s">
        <v>97</v>
      </c>
      <c r="D45" s="44" t="s">
        <v>28</v>
      </c>
      <c r="E45" s="44" t="s">
        <v>29</v>
      </c>
      <c r="F45" s="44" t="s">
        <v>30</v>
      </c>
      <c r="G45" s="44" t="s">
        <v>31</v>
      </c>
      <c r="H45" s="44" t="s">
        <v>32</v>
      </c>
      <c r="I45" s="44" t="s">
        <v>33</v>
      </c>
      <c r="J45" s="44" t="s">
        <v>34</v>
      </c>
      <c r="K45" s="44" t="s">
        <v>98</v>
      </c>
      <c r="L45" s="44" t="s">
        <v>99</v>
      </c>
      <c r="N45" s="10" t="str">
        <f aca="false">$B33</f>
        <v>CPTRUN</v>
      </c>
      <c r="O45" s="31" t="n">
        <f aca="false">COUNTIFS($B$46:$B$125,$B33,$C$46:$C$125,$H33,$D$46:$D$125,"778")</f>
        <v>0</v>
      </c>
      <c r="P45" s="31" t="n">
        <f aca="false">COUNTIFS($B$46:$B$125,$B33,$C$46:$C$125,$H33,$E$46:$E$125,"778")</f>
        <v>0</v>
      </c>
      <c r="Q45" s="31" t="n">
        <f aca="false">COUNTIFS($B$46:$B$125,$B33,$C$46:$C$125,$H33,$F$46:$F$125,"778")</f>
        <v>0</v>
      </c>
      <c r="R45" s="31" t="n">
        <f aca="false">COUNTIFS($B$46:$B$125,$B33,$C$46:$C$125,$H33,$G$46:$G$125,"778")</f>
        <v>1</v>
      </c>
      <c r="S45" s="31" t="n">
        <f aca="false">COUNTIFS($B$46:$B$125,$B33,$C$46:$C$125,$H33,$H$46:$H$125,"778")</f>
        <v>0</v>
      </c>
      <c r="T45" s="31" t="n">
        <f aca="false">COUNTIFS($B$46:$B$125,$B33,$C$46:$C$125,$H33,$I$46:$I$125,"778")</f>
        <v>0</v>
      </c>
      <c r="U45" s="31" t="n">
        <f aca="false">COUNTIFS($B$46:$B$125,$B33,$C$46:$C$125,$H33,$J$46:$J$125,"778")</f>
        <v>0</v>
      </c>
    </row>
    <row r="46" customFormat="false" ht="15" hidden="false" customHeight="false" outlineLevel="0" collapsed="false">
      <c r="B46" s="45" t="s">
        <v>13</v>
      </c>
      <c r="C46" s="46" t="s">
        <v>14</v>
      </c>
      <c r="D46" s="47" t="s">
        <v>12</v>
      </c>
      <c r="E46" s="47" t="s">
        <v>12</v>
      </c>
      <c r="F46" s="47" t="s">
        <v>12</v>
      </c>
      <c r="G46" s="47" t="s">
        <v>12</v>
      </c>
      <c r="H46" s="47" t="s">
        <v>12</v>
      </c>
      <c r="I46" s="47" t="s">
        <v>12</v>
      </c>
      <c r="J46" s="47" t="s">
        <v>12</v>
      </c>
      <c r="K46" s="48" t="n">
        <f aca="false">IF($B46="","",COUNTA(D46:J46))</f>
        <v>7</v>
      </c>
      <c r="L46" s="49" t="str">
        <f aca="false">IF($B46="","",IF(OR($C46=$C$4,AND($C46="TOUS",COUNTIFS($B$46:$B$125,$B46,$C$46:$C$125,$C$4)=0)),"APPLIQUE",""))</f>
        <v>APPLIQUE</v>
      </c>
      <c r="N46" s="10" t="str">
        <f aca="false">$B34</f>
        <v>DIERUN</v>
      </c>
      <c r="O46" s="31" t="n">
        <f aca="false">COUNTIFS($B$46:$B$125,$B34,$C$46:$C$125,$H34,$D$46:$D$125,"778")</f>
        <v>0</v>
      </c>
      <c r="P46" s="31" t="n">
        <f aca="false">COUNTIFS($B$46:$B$125,$B34,$C$46:$C$125,$H34,$E$46:$E$125,"778")</f>
        <v>0</v>
      </c>
      <c r="Q46" s="31" t="n">
        <f aca="false">COUNTIFS($B$46:$B$125,$B34,$C$46:$C$125,$H34,$F$46:$F$125,"778")</f>
        <v>0</v>
      </c>
      <c r="R46" s="31" t="n">
        <f aca="false">COUNTIFS($B$46:$B$125,$B34,$C$46:$C$125,$H34,$G$46:$G$125,"778")</f>
        <v>0</v>
      </c>
      <c r="S46" s="31" t="n">
        <f aca="false">COUNTIFS($B$46:$B$125,$B34,$C$46:$C$125,$H34,$H$46:$H$125,"778")</f>
        <v>0</v>
      </c>
      <c r="T46" s="31" t="n">
        <f aca="false">COUNTIFS($B$46:$B$125,$B34,$C$46:$C$125,$H34,$I$46:$I$125,"778")</f>
        <v>0</v>
      </c>
      <c r="U46" s="31" t="n">
        <f aca="false">COUNTIFS($B$46:$B$125,$B34,$C$46:$C$125,$H34,$J$46:$J$125,"778")</f>
        <v>0</v>
      </c>
    </row>
    <row r="47" customFormat="false" ht="15" hidden="false" customHeight="false" outlineLevel="0" collapsed="false">
      <c r="B47" s="45" t="s">
        <v>13</v>
      </c>
      <c r="C47" s="46" t="s">
        <v>14</v>
      </c>
      <c r="D47" s="47" t="s">
        <v>20</v>
      </c>
      <c r="E47" s="47"/>
      <c r="F47" s="47"/>
      <c r="G47" s="47"/>
      <c r="H47" s="47" t="s">
        <v>20</v>
      </c>
      <c r="I47" s="47"/>
      <c r="J47" s="47"/>
      <c r="K47" s="48" t="n">
        <f aca="false">IF($B47="","",COUNTA(D47:J47))</f>
        <v>2</v>
      </c>
      <c r="L47" s="49" t="str">
        <f aca="false">IF($B47="","",IF(OR($C47=$C$4,AND($C47="TOUS",COUNTIFS($B$46:$B$125,$B47,$C$46:$C$125,$C$4)=0)),"APPLIQUE",""))</f>
        <v>APPLIQUE</v>
      </c>
      <c r="N47" s="10" t="str">
        <f aca="false">$B35</f>
        <v>RRGRUN</v>
      </c>
      <c r="O47" s="31" t="n">
        <f aca="false">COUNTIFS($B$46:$B$125,$B35,$C$46:$C$125,$H35,$D$46:$D$125,"778")</f>
        <v>0</v>
      </c>
      <c r="P47" s="31" t="n">
        <f aca="false">COUNTIFS($B$46:$B$125,$B35,$C$46:$C$125,$H35,$E$46:$E$125,"778")</f>
        <v>0</v>
      </c>
      <c r="Q47" s="31" t="n">
        <f aca="false">COUNTIFS($B$46:$B$125,$B35,$C$46:$C$125,$H35,$F$46:$F$125,"778")</f>
        <v>0</v>
      </c>
      <c r="R47" s="31" t="n">
        <f aca="false">COUNTIFS($B$46:$B$125,$B35,$C$46:$C$125,$H35,$G$46:$G$125,"778")</f>
        <v>0</v>
      </c>
      <c r="S47" s="31" t="n">
        <f aca="false">COUNTIFS($B$46:$B$125,$B35,$C$46:$C$125,$H35,$H$46:$H$125,"778")</f>
        <v>0</v>
      </c>
      <c r="T47" s="31" t="n">
        <f aca="false">COUNTIFS($B$46:$B$125,$B35,$C$46:$C$125,$H35,$I$46:$I$125,"778")</f>
        <v>0</v>
      </c>
      <c r="U47" s="31" t="n">
        <f aca="false">COUNTIFS($B$46:$B$125,$B35,$C$46:$C$125,$H35,$J$46:$J$125,"778")</f>
        <v>0</v>
      </c>
    </row>
    <row r="48" customFormat="false" ht="15" hidden="false" customHeight="false" outlineLevel="0" collapsed="false">
      <c r="B48" s="45" t="s">
        <v>13</v>
      </c>
      <c r="C48" s="46" t="s">
        <v>14</v>
      </c>
      <c r="D48" s="47" t="s">
        <v>25</v>
      </c>
      <c r="E48" s="47"/>
      <c r="F48" s="47"/>
      <c r="G48" s="47"/>
      <c r="H48" s="47"/>
      <c r="I48" s="47"/>
      <c r="J48" s="47"/>
      <c r="K48" s="48" t="n">
        <f aca="false">IF($B48="","",COUNTA(D48:J48))</f>
        <v>1</v>
      </c>
      <c r="L48" s="49" t="str">
        <f aca="false">IF($B48="","",IF(OR($C48=$C$4,AND($C48="TOUS",COUNTIFS($B$46:$B$125,$B48,$C$46:$C$125,$C$4)=0)),"APPLIQUE",""))</f>
        <v>APPLIQUE</v>
      </c>
      <c r="N48" s="10" t="str">
        <f aca="false">$B36</f>
        <v>TMMRUN</v>
      </c>
      <c r="O48" s="31" t="n">
        <f aca="false">COUNTIFS($B$46:$B$125,$B36,$C$46:$C$125,$H36,$D$46:$D$125,"778")</f>
        <v>0</v>
      </c>
      <c r="P48" s="31" t="n">
        <f aca="false">COUNTIFS($B$46:$B$125,$B36,$C$46:$C$125,$H36,$E$46:$E$125,"778")</f>
        <v>0</v>
      </c>
      <c r="Q48" s="31" t="n">
        <f aca="false">COUNTIFS($B$46:$B$125,$B36,$C$46:$C$125,$H36,$F$46:$F$125,"778")</f>
        <v>0</v>
      </c>
      <c r="R48" s="31" t="n">
        <f aca="false">COUNTIFS($B$46:$B$125,$B36,$C$46:$C$125,$H36,$G$46:$G$125,"778")</f>
        <v>0</v>
      </c>
      <c r="S48" s="31" t="n">
        <f aca="false">COUNTIFS($B$46:$B$125,$B36,$C$46:$C$125,$H36,$H$46:$H$125,"778")</f>
        <v>0</v>
      </c>
      <c r="T48" s="31" t="n">
        <f aca="false">COUNTIFS($B$46:$B$125,$B36,$C$46:$C$125,$H36,$I$46:$I$125,"778")</f>
        <v>0</v>
      </c>
      <c r="U48" s="31" t="n">
        <f aca="false">COUNTIFS($B$46:$B$125,$B36,$C$46:$C$125,$H36,$J$46:$J$125,"778")</f>
        <v>0</v>
      </c>
    </row>
    <row r="49" customFormat="false" ht="15" hidden="false" customHeight="false" outlineLevel="0" collapsed="false">
      <c r="B49" s="45" t="s">
        <v>21</v>
      </c>
      <c r="C49" s="46" t="s">
        <v>14</v>
      </c>
      <c r="D49" s="47"/>
      <c r="E49" s="47" t="s">
        <v>20</v>
      </c>
      <c r="F49" s="47"/>
      <c r="G49" s="47"/>
      <c r="H49" s="47" t="s">
        <v>20</v>
      </c>
      <c r="I49" s="47"/>
      <c r="J49" s="47" t="s">
        <v>12</v>
      </c>
      <c r="K49" s="48" t="n">
        <f aca="false">IF($B49="","",COUNTA(D49:J49))</f>
        <v>3</v>
      </c>
      <c r="L49" s="49" t="str">
        <f aca="false">IF($B49="","",IF(OR($C49=$C$4,AND($C49="TOUS",COUNTIFS($B$46:$B$125,$B49,$C$46:$C$125,$C$4)=0)),"APPLIQUE",""))</f>
        <v>APPLIQUE</v>
      </c>
    </row>
    <row r="50" customFormat="false" ht="15" hidden="false" customHeight="false" outlineLevel="0" collapsed="false">
      <c r="B50" s="45" t="s">
        <v>26</v>
      </c>
      <c r="C50" s="46" t="s">
        <v>14</v>
      </c>
      <c r="D50" s="47"/>
      <c r="E50" s="47"/>
      <c r="F50" s="47" t="s">
        <v>20</v>
      </c>
      <c r="G50" s="47"/>
      <c r="H50" s="47"/>
      <c r="I50" s="47" t="s">
        <v>20</v>
      </c>
      <c r="J50" s="47"/>
      <c r="K50" s="48" t="n">
        <f aca="false">IF($B50="","",COUNTA(D50:J50))</f>
        <v>2</v>
      </c>
      <c r="L50" s="49" t="str">
        <f aca="false">IF($B50="","",IF(OR($C50=$C$4,AND($C50="TOUS",COUNTIFS($B$46:$B$125,$B50,$C$46:$C$125,$C$4)=0)),"APPLIQUE",""))</f>
        <v>APPLIQUE</v>
      </c>
      <c r="N50" s="30" t="s">
        <v>100</v>
      </c>
      <c r="O50" s="30"/>
      <c r="P50" s="30"/>
      <c r="Q50" s="30"/>
      <c r="R50" s="30"/>
      <c r="S50" s="30"/>
      <c r="T50" s="30"/>
      <c r="U50" s="30"/>
    </row>
    <row r="51" customFormat="false" ht="15" hidden="false" customHeight="false" outlineLevel="0" collapsed="false">
      <c r="B51" s="45" t="s">
        <v>37</v>
      </c>
      <c r="C51" s="46" t="s">
        <v>14</v>
      </c>
      <c r="D51" s="47" t="s">
        <v>25</v>
      </c>
      <c r="E51" s="47" t="s">
        <v>25</v>
      </c>
      <c r="F51" s="47" t="s">
        <v>25</v>
      </c>
      <c r="G51" s="47" t="s">
        <v>25</v>
      </c>
      <c r="H51" s="47" t="s">
        <v>25</v>
      </c>
      <c r="I51" s="47"/>
      <c r="J51" s="47"/>
      <c r="K51" s="48" t="n">
        <f aca="false">IF($B51="","",COUNTA(D51:J51))</f>
        <v>5</v>
      </c>
      <c r="L51" s="49" t="str">
        <f aca="false">IF($B51="","",IF(OR($C51=$C$4,AND($C51="TOUS",COUNTIFS($B$46:$B$125,$B51,$C$46:$C$125,$C$4)=0)),"APPLIQUE",""))</f>
        <v>APPLIQUE</v>
      </c>
      <c r="N51" s="10" t="str">
        <f aca="false">$B25</f>
        <v>CDGRUN</v>
      </c>
      <c r="O51" s="31" t="n">
        <f aca="false">COUNTIFS($B$46:$B$125,$B25,$C$46:$C$125,$H25,$D$46:$D$125,"A320")</f>
        <v>1</v>
      </c>
      <c r="P51" s="31" t="n">
        <f aca="false">COUNTIFS($B$46:$B$125,$B25,$C$46:$C$125,$H25,$E$46:$E$125,"A320")</f>
        <v>0</v>
      </c>
      <c r="Q51" s="31" t="n">
        <f aca="false">COUNTIFS($B$46:$B$125,$B25,$C$46:$C$125,$H25,$F$46:$F$125,"A320")</f>
        <v>0</v>
      </c>
      <c r="R51" s="31" t="n">
        <f aca="false">COUNTIFS($B$46:$B$125,$B25,$C$46:$C$125,$H25,$G$46:$G$125,"A320")</f>
        <v>0</v>
      </c>
      <c r="S51" s="31" t="n">
        <f aca="false">COUNTIFS($B$46:$B$125,$B25,$C$46:$C$125,$H25,$H$46:$H$125,"A320")</f>
        <v>0</v>
      </c>
      <c r="T51" s="31" t="n">
        <f aca="false">COUNTIFS($B$46:$B$125,$B25,$C$46:$C$125,$H25,$I$46:$I$125,"A320")</f>
        <v>0</v>
      </c>
      <c r="U51" s="31" t="n">
        <f aca="false">COUNTIFS($B$46:$B$125,$B25,$C$46:$C$125,$H25,$J$46:$J$125,"A320")</f>
        <v>0</v>
      </c>
    </row>
    <row r="52" customFormat="false" ht="15" hidden="false" customHeight="false" outlineLevel="0" collapsed="false">
      <c r="B52" s="45" t="s">
        <v>37</v>
      </c>
      <c r="C52" s="46" t="s">
        <v>14</v>
      </c>
      <c r="D52" s="47"/>
      <c r="E52" s="47"/>
      <c r="F52" s="47" t="s">
        <v>20</v>
      </c>
      <c r="G52" s="47"/>
      <c r="H52" s="47"/>
      <c r="I52" s="47"/>
      <c r="J52" s="47"/>
      <c r="K52" s="48" t="n">
        <f aca="false">IF($B52="","",COUNTA(D52:J52))</f>
        <v>1</v>
      </c>
      <c r="L52" s="49" t="str">
        <f aca="false">IF($B52="","",IF(OR($C52=$C$4,AND($C52="TOUS",COUNTIFS($B$46:$B$125,$B52,$C$46:$C$125,$C$4)=0)),"APPLIQUE",""))</f>
        <v>APPLIQUE</v>
      </c>
      <c r="N52" s="10" t="str">
        <f aca="false">$B26</f>
        <v>CDGDZA</v>
      </c>
      <c r="O52" s="31" t="n">
        <f aca="false">COUNTIFS($B$46:$B$125,$B26,$C$46:$C$125,$H26,$D$46:$D$125,"A320")</f>
        <v>0</v>
      </c>
      <c r="P52" s="31" t="n">
        <f aca="false">COUNTIFS($B$46:$B$125,$B26,$C$46:$C$125,$H26,$E$46:$E$125,"A320")</f>
        <v>0</v>
      </c>
      <c r="Q52" s="31" t="n">
        <f aca="false">COUNTIFS($B$46:$B$125,$B26,$C$46:$C$125,$H26,$F$46:$F$125,"A320")</f>
        <v>0</v>
      </c>
      <c r="R52" s="31" t="n">
        <f aca="false">COUNTIFS($B$46:$B$125,$B26,$C$46:$C$125,$H26,$G$46:$G$125,"A320")</f>
        <v>0</v>
      </c>
      <c r="S52" s="31" t="n">
        <f aca="false">COUNTIFS($B$46:$B$125,$B26,$C$46:$C$125,$H26,$H$46:$H$125,"A320")</f>
        <v>0</v>
      </c>
      <c r="T52" s="31" t="n">
        <f aca="false">COUNTIFS($B$46:$B$125,$B26,$C$46:$C$125,$H26,$I$46:$I$125,"A320")</f>
        <v>0</v>
      </c>
      <c r="U52" s="31" t="n">
        <f aca="false">COUNTIFS($B$46:$B$125,$B26,$C$46:$C$125,$H26,$J$46:$J$125,"A320")</f>
        <v>0</v>
      </c>
    </row>
    <row r="53" customFormat="false" ht="15" hidden="false" customHeight="false" outlineLevel="0" collapsed="false">
      <c r="B53" s="45" t="s">
        <v>41</v>
      </c>
      <c r="C53" s="46" t="s">
        <v>14</v>
      </c>
      <c r="D53" s="47" t="s">
        <v>25</v>
      </c>
      <c r="E53" s="47"/>
      <c r="F53" s="47" t="s">
        <v>25</v>
      </c>
      <c r="G53" s="47"/>
      <c r="H53" s="47" t="s">
        <v>25</v>
      </c>
      <c r="I53" s="47"/>
      <c r="J53" s="47" t="s">
        <v>25</v>
      </c>
      <c r="K53" s="48" t="n">
        <f aca="false">IF($B53="","",COUNTA(D53:J53))</f>
        <v>4</v>
      </c>
      <c r="L53" s="49" t="str">
        <f aca="false">IF($B53="","",IF(OR($C53=$C$4,AND($C53="TOUS",COUNTIFS($B$46:$B$125,$B53,$C$46:$C$125,$C$4)=0)),"APPLIQUE",""))</f>
        <v>APPLIQUE</v>
      </c>
      <c r="N53" s="10" t="str">
        <f aca="false">$B27</f>
        <v>BKKRUN</v>
      </c>
      <c r="O53" s="31" t="n">
        <f aca="false">COUNTIFS($B$46:$B$125,$B27,$C$46:$C$125,$H27,$D$46:$D$125,"A320")</f>
        <v>0</v>
      </c>
      <c r="P53" s="31" t="n">
        <f aca="false">COUNTIFS($B$46:$B$125,$B27,$C$46:$C$125,$H27,$E$46:$E$125,"A320")</f>
        <v>0</v>
      </c>
      <c r="Q53" s="31" t="n">
        <f aca="false">COUNTIFS($B$46:$B$125,$B27,$C$46:$C$125,$H27,$F$46:$F$125,"A320")</f>
        <v>0</v>
      </c>
      <c r="R53" s="31" t="n">
        <f aca="false">COUNTIFS($B$46:$B$125,$B27,$C$46:$C$125,$H27,$G$46:$G$125,"A320")</f>
        <v>0</v>
      </c>
      <c r="S53" s="31" t="n">
        <f aca="false">COUNTIFS($B$46:$B$125,$B27,$C$46:$C$125,$H27,$H$46:$H$125,"A320")</f>
        <v>0</v>
      </c>
      <c r="T53" s="31" t="n">
        <f aca="false">COUNTIFS($B$46:$B$125,$B27,$C$46:$C$125,$H27,$I$46:$I$125,"A320")</f>
        <v>0</v>
      </c>
      <c r="U53" s="31" t="n">
        <f aca="false">COUNTIFS($B$46:$B$125,$B27,$C$46:$C$125,$H27,$J$46:$J$125,"A320")</f>
        <v>0</v>
      </c>
    </row>
    <row r="54" customFormat="false" ht="15" hidden="false" customHeight="false" outlineLevel="0" collapsed="false">
      <c r="B54" s="45" t="s">
        <v>16</v>
      </c>
      <c r="C54" s="46" t="s">
        <v>14</v>
      </c>
      <c r="D54" s="47" t="s">
        <v>25</v>
      </c>
      <c r="E54" s="47"/>
      <c r="F54" s="47"/>
      <c r="G54" s="47" t="s">
        <v>25</v>
      </c>
      <c r="H54" s="47"/>
      <c r="I54" s="47" t="s">
        <v>25</v>
      </c>
      <c r="J54" s="47"/>
      <c r="K54" s="48" t="n">
        <f aca="false">IF($B54="","",COUNTA(D54:J54))</f>
        <v>3</v>
      </c>
      <c r="L54" s="49" t="str">
        <f aca="false">IF($B54="","",IF(OR($C54=$C$4,AND($C54="TOUS",COUNTIFS($B$46:$B$125,$B54,$C$46:$C$125,$C$4)=0)),"APPLIQUE",""))</f>
        <v>APPLIQUE</v>
      </c>
      <c r="N54" s="10" t="str">
        <f aca="false">$B28</f>
        <v>DZARUN</v>
      </c>
      <c r="O54" s="31" t="n">
        <f aca="false">COUNTIFS($B$46:$B$125,$B28,$C$46:$C$125,$H28,$D$46:$D$125,"A320")</f>
        <v>1</v>
      </c>
      <c r="P54" s="31" t="n">
        <f aca="false">COUNTIFS($B$46:$B$125,$B28,$C$46:$C$125,$H28,$E$46:$E$125,"A320")</f>
        <v>1</v>
      </c>
      <c r="Q54" s="31" t="n">
        <f aca="false">COUNTIFS($B$46:$B$125,$B28,$C$46:$C$125,$H28,$F$46:$F$125,"A320")</f>
        <v>1</v>
      </c>
      <c r="R54" s="31" t="n">
        <f aca="false">COUNTIFS($B$46:$B$125,$B28,$C$46:$C$125,$H28,$G$46:$G$125,"A320")</f>
        <v>1</v>
      </c>
      <c r="S54" s="31" t="n">
        <f aca="false">COUNTIFS($B$46:$B$125,$B28,$C$46:$C$125,$H28,$H$46:$H$125,"A320")</f>
        <v>1</v>
      </c>
      <c r="T54" s="31" t="n">
        <f aca="false">COUNTIFS($B$46:$B$125,$B28,$C$46:$C$125,$H28,$I$46:$I$125,"A320")</f>
        <v>0</v>
      </c>
      <c r="U54" s="31" t="n">
        <f aca="false">COUNTIFS($B$46:$B$125,$B28,$C$46:$C$125,$H28,$J$46:$J$125,"A320")</f>
        <v>0</v>
      </c>
    </row>
    <row r="55" customFormat="false" ht="15" hidden="false" customHeight="false" outlineLevel="0" collapsed="false">
      <c r="B55" s="45" t="s">
        <v>47</v>
      </c>
      <c r="C55" s="46" t="s">
        <v>14</v>
      </c>
      <c r="D55" s="47"/>
      <c r="E55" s="47" t="s">
        <v>25</v>
      </c>
      <c r="F55" s="47"/>
      <c r="G55" s="47" t="s">
        <v>25</v>
      </c>
      <c r="H55" s="47"/>
      <c r="I55" s="47" t="s">
        <v>25</v>
      </c>
      <c r="J55" s="47"/>
      <c r="K55" s="48" t="n">
        <f aca="false">IF($B55="","",COUNTA(D55:J55))</f>
        <v>3</v>
      </c>
      <c r="L55" s="49" t="str">
        <f aca="false">IF($B55="","",IF(OR($C55=$C$4,AND($C55="TOUS",COUNTIFS($B$46:$B$125,$B55,$C$46:$C$125,$C$4)=0)),"APPLIQUE",""))</f>
        <v>APPLIQUE</v>
      </c>
      <c r="N55" s="10" t="str">
        <f aca="false">$B29</f>
        <v>MRURUN</v>
      </c>
      <c r="O55" s="31" t="n">
        <f aca="false">COUNTIFS($B$46:$B$125,$B29,$C$46:$C$125,$H29,$D$46:$D$125,"A320")</f>
        <v>1</v>
      </c>
      <c r="P55" s="31" t="n">
        <f aca="false">COUNTIFS($B$46:$B$125,$B29,$C$46:$C$125,$H29,$E$46:$E$125,"A320")</f>
        <v>0</v>
      </c>
      <c r="Q55" s="31" t="n">
        <f aca="false">COUNTIFS($B$46:$B$125,$B29,$C$46:$C$125,$H29,$F$46:$F$125,"A320")</f>
        <v>1</v>
      </c>
      <c r="R55" s="31" t="n">
        <f aca="false">COUNTIFS($B$46:$B$125,$B29,$C$46:$C$125,$H29,$G$46:$G$125,"A320")</f>
        <v>0</v>
      </c>
      <c r="S55" s="31" t="n">
        <f aca="false">COUNTIFS($B$46:$B$125,$B29,$C$46:$C$125,$H29,$H$46:$H$125,"A320")</f>
        <v>1</v>
      </c>
      <c r="T55" s="31" t="n">
        <f aca="false">COUNTIFS($B$46:$B$125,$B29,$C$46:$C$125,$H29,$I$46:$I$125,"A320")</f>
        <v>0</v>
      </c>
      <c r="U55" s="31" t="n">
        <f aca="false">COUNTIFS($B$46:$B$125,$B29,$C$46:$C$125,$H29,$J$46:$J$125,"A320")</f>
        <v>1</v>
      </c>
    </row>
    <row r="56" customFormat="false" ht="15" hidden="false" customHeight="false" outlineLevel="0" collapsed="false">
      <c r="B56" s="45" t="s">
        <v>49</v>
      </c>
      <c r="C56" s="46" t="s">
        <v>14</v>
      </c>
      <c r="D56" s="47" t="s">
        <v>20</v>
      </c>
      <c r="E56" s="47"/>
      <c r="F56" s="47"/>
      <c r="G56" s="47"/>
      <c r="H56" s="47" t="s">
        <v>20</v>
      </c>
      <c r="I56" s="47"/>
      <c r="J56" s="47"/>
      <c r="K56" s="48" t="n">
        <f aca="false">IF($B56="","",COUNTA(D56:J56))</f>
        <v>2</v>
      </c>
      <c r="L56" s="49" t="str">
        <f aca="false">IF($B56="","",IF(OR($C56=$C$4,AND($C56="TOUS",COUNTIFS($B$46:$B$125,$B56,$C$46:$C$125,$C$4)=0)),"APPLIQUE",""))</f>
        <v>APPLIQUE</v>
      </c>
      <c r="N56" s="10" t="str">
        <f aca="false">$B30</f>
        <v>NOSRUN</v>
      </c>
      <c r="O56" s="31" t="n">
        <f aca="false">COUNTIFS($B$46:$B$125,$B30,$C$46:$C$125,$H30,$D$46:$D$125,"A320")</f>
        <v>1</v>
      </c>
      <c r="P56" s="31" t="n">
        <f aca="false">COUNTIFS($B$46:$B$125,$B30,$C$46:$C$125,$H30,$E$46:$E$125,"A320")</f>
        <v>0</v>
      </c>
      <c r="Q56" s="31" t="n">
        <f aca="false">COUNTIFS($B$46:$B$125,$B30,$C$46:$C$125,$H30,$F$46:$F$125,"A320")</f>
        <v>0</v>
      </c>
      <c r="R56" s="31" t="n">
        <f aca="false">COUNTIFS($B$46:$B$125,$B30,$C$46:$C$125,$H30,$G$46:$G$125,"A320")</f>
        <v>1</v>
      </c>
      <c r="S56" s="31" t="n">
        <f aca="false">COUNTIFS($B$46:$B$125,$B30,$C$46:$C$125,$H30,$H$46:$H$125,"A320")</f>
        <v>0</v>
      </c>
      <c r="T56" s="31" t="n">
        <f aca="false">COUNTIFS($B$46:$B$125,$B30,$C$46:$C$125,$H30,$I$46:$I$125,"A320")</f>
        <v>1</v>
      </c>
      <c r="U56" s="31" t="n">
        <f aca="false">COUNTIFS($B$46:$B$125,$B30,$C$46:$C$125,$H30,$J$46:$J$125,"A320")</f>
        <v>0</v>
      </c>
    </row>
    <row r="57" customFormat="false" ht="15" hidden="false" customHeight="false" outlineLevel="0" collapsed="false">
      <c r="B57" s="45" t="s">
        <v>53</v>
      </c>
      <c r="C57" s="46" t="s">
        <v>14</v>
      </c>
      <c r="D57" s="47"/>
      <c r="E57" s="47"/>
      <c r="F57" s="47"/>
      <c r="G57" s="47" t="s">
        <v>20</v>
      </c>
      <c r="H57" s="47"/>
      <c r="I57" s="47"/>
      <c r="J57" s="47"/>
      <c r="K57" s="48" t="n">
        <f aca="false">IF($B57="","",COUNTA(D57:J57))</f>
        <v>1</v>
      </c>
      <c r="L57" s="49" t="str">
        <f aca="false">IF($B57="","",IF(OR($C57=$C$4,AND($C57="TOUS",COUNTIFS($B$46:$B$125,$B57,$C$46:$C$125,$C$4)=0)),"APPLIQUE",""))</f>
        <v>APPLIQUE</v>
      </c>
      <c r="N57" s="10" t="str">
        <f aca="false">$B31</f>
        <v>RUNTNR</v>
      </c>
      <c r="O57" s="31" t="n">
        <f aca="false">COUNTIFS($B$46:$B$125,$B31,$C$46:$C$125,$H31,$D$46:$D$125,"A320")</f>
        <v>0</v>
      </c>
      <c r="P57" s="31" t="n">
        <f aca="false">COUNTIFS($B$46:$B$125,$B31,$C$46:$C$125,$H31,$E$46:$E$125,"A320")</f>
        <v>1</v>
      </c>
      <c r="Q57" s="31" t="n">
        <f aca="false">COUNTIFS($B$46:$B$125,$B31,$C$46:$C$125,$H31,$F$46:$F$125,"A320")</f>
        <v>0</v>
      </c>
      <c r="R57" s="31" t="n">
        <f aca="false">COUNTIFS($B$46:$B$125,$B31,$C$46:$C$125,$H31,$G$46:$G$125,"A320")</f>
        <v>1</v>
      </c>
      <c r="S57" s="31" t="n">
        <f aca="false">COUNTIFS($B$46:$B$125,$B31,$C$46:$C$125,$H31,$H$46:$H$125,"A320")</f>
        <v>0</v>
      </c>
      <c r="T57" s="31" t="n">
        <f aca="false">COUNTIFS($B$46:$B$125,$B31,$C$46:$C$125,$H31,$I$46:$I$125,"A320")</f>
        <v>1</v>
      </c>
      <c r="U57" s="31" t="n">
        <f aca="false">COUNTIFS($B$46:$B$125,$B31,$C$46:$C$125,$H31,$J$46:$J$125,"A320")</f>
        <v>0</v>
      </c>
    </row>
    <row r="58" customFormat="false" ht="15" hidden="false" customHeight="false" outlineLevel="0" collapsed="false">
      <c r="B58" s="45" t="s">
        <v>63</v>
      </c>
      <c r="C58" s="46" t="s">
        <v>14</v>
      </c>
      <c r="D58" s="47"/>
      <c r="E58" s="47" t="s">
        <v>25</v>
      </c>
      <c r="F58" s="47"/>
      <c r="G58" s="47"/>
      <c r="H58" s="47"/>
      <c r="I58" s="47" t="s">
        <v>25</v>
      </c>
      <c r="J58" s="47"/>
      <c r="K58" s="48" t="n">
        <f aca="false">IF($B58="","",COUNTA(D58:J58))</f>
        <v>2</v>
      </c>
      <c r="L58" s="49" t="str">
        <f aca="false">IF($B58="","",IF(OR($C58=$C$4,AND($C58="TOUS",COUNTIFS($B$46:$B$125,$B58,$C$46:$C$125,$C$4)=0)),"APPLIQUE",""))</f>
        <v>APPLIQUE</v>
      </c>
      <c r="N58" s="10" t="str">
        <f aca="false">$B32</f>
        <v>JNBRUN</v>
      </c>
      <c r="O58" s="31" t="n">
        <f aca="false">COUNTIFS($B$46:$B$125,$B32,$C$46:$C$125,$H32,$D$46:$D$125,"A320")</f>
        <v>0</v>
      </c>
      <c r="P58" s="31" t="n">
        <f aca="false">COUNTIFS($B$46:$B$125,$B32,$C$46:$C$125,$H32,$E$46:$E$125,"A320")</f>
        <v>0</v>
      </c>
      <c r="Q58" s="31" t="n">
        <f aca="false">COUNTIFS($B$46:$B$125,$B32,$C$46:$C$125,$H32,$F$46:$F$125,"A320")</f>
        <v>0</v>
      </c>
      <c r="R58" s="31" t="n">
        <f aca="false">COUNTIFS($B$46:$B$125,$B32,$C$46:$C$125,$H32,$G$46:$G$125,"A320")</f>
        <v>0</v>
      </c>
      <c r="S58" s="31" t="n">
        <f aca="false">COUNTIFS($B$46:$B$125,$B32,$C$46:$C$125,$H32,$H$46:$H$125,"A320")</f>
        <v>0</v>
      </c>
      <c r="T58" s="31" t="n">
        <f aca="false">COUNTIFS($B$46:$B$125,$B32,$C$46:$C$125,$H32,$I$46:$I$125,"A320")</f>
        <v>0</v>
      </c>
      <c r="U58" s="31" t="n">
        <f aca="false">COUNTIFS($B$46:$B$125,$B32,$C$46:$C$125,$H32,$J$46:$J$125,"A320")</f>
        <v>0</v>
      </c>
    </row>
    <row r="59" customFormat="false" ht="15" hidden="false" customHeight="false" outlineLevel="0" collapsed="false">
      <c r="B59" s="45" t="s">
        <v>67</v>
      </c>
      <c r="C59" s="46" t="s">
        <v>14</v>
      </c>
      <c r="D59" s="47" t="s">
        <v>25</v>
      </c>
      <c r="E59" s="47" t="s">
        <v>25</v>
      </c>
      <c r="F59" s="47" t="s">
        <v>25</v>
      </c>
      <c r="G59" s="47" t="s">
        <v>25</v>
      </c>
      <c r="H59" s="47" t="s">
        <v>25</v>
      </c>
      <c r="I59" s="47" t="s">
        <v>25</v>
      </c>
      <c r="J59" s="47"/>
      <c r="K59" s="48" t="n">
        <f aca="false">IF($B59="","",COUNTA(D59:J59))</f>
        <v>6</v>
      </c>
      <c r="L59" s="49" t="str">
        <f aca="false">IF($B59="","",IF(OR($C59=$C$4,AND($C59="TOUS",COUNTIFS($B$46:$B$125,$B59,$C$46:$C$125,$C$4)=0)),"APPLIQUE",""))</f>
        <v>APPLIQUE</v>
      </c>
      <c r="N59" s="10" t="str">
        <f aca="false">$B33</f>
        <v>CPTRUN</v>
      </c>
      <c r="O59" s="31" t="n">
        <f aca="false">COUNTIFS($B$46:$B$125,$B33,$C$46:$C$125,$H33,$D$46:$D$125,"A320")</f>
        <v>0</v>
      </c>
      <c r="P59" s="31" t="n">
        <f aca="false">COUNTIFS($B$46:$B$125,$B33,$C$46:$C$125,$H33,$E$46:$E$125,"A320")</f>
        <v>0</v>
      </c>
      <c r="Q59" s="31" t="n">
        <f aca="false">COUNTIFS($B$46:$B$125,$B33,$C$46:$C$125,$H33,$F$46:$F$125,"A320")</f>
        <v>0</v>
      </c>
      <c r="R59" s="31" t="n">
        <f aca="false">COUNTIFS($B$46:$B$125,$B33,$C$46:$C$125,$H33,$G$46:$G$125,"A320")</f>
        <v>0</v>
      </c>
      <c r="S59" s="31" t="n">
        <f aca="false">COUNTIFS($B$46:$B$125,$B33,$C$46:$C$125,$H33,$H$46:$H$125,"A320")</f>
        <v>0</v>
      </c>
      <c r="T59" s="31" t="n">
        <f aca="false">COUNTIFS($B$46:$B$125,$B33,$C$46:$C$125,$H33,$I$46:$I$125,"A320")</f>
        <v>0</v>
      </c>
      <c r="U59" s="31" t="n">
        <f aca="false">COUNTIFS($B$46:$B$125,$B33,$C$46:$C$125,$H33,$J$46:$J$125,"A320")</f>
        <v>0</v>
      </c>
    </row>
    <row r="60" customFormat="false" ht="15" hidden="false" customHeight="false" outlineLevel="0" collapsed="false">
      <c r="B60" s="45" t="s">
        <v>67</v>
      </c>
      <c r="C60" s="46" t="s">
        <v>14</v>
      </c>
      <c r="D60" s="47"/>
      <c r="E60" s="47"/>
      <c r="F60" s="47"/>
      <c r="G60" s="47"/>
      <c r="H60" s="47" t="s">
        <v>25</v>
      </c>
      <c r="I60" s="47"/>
      <c r="J60" s="47"/>
      <c r="K60" s="48" t="n">
        <f aca="false">IF($B60="","",COUNTA(D60:J60))</f>
        <v>1</v>
      </c>
      <c r="L60" s="49" t="str">
        <f aca="false">IF($B60="","",IF(OR($C60=$C$4,AND($C60="TOUS",COUNTIFS($B$46:$B$125,$B60,$C$46:$C$125,$C$4)=0)),"APPLIQUE",""))</f>
        <v>APPLIQUE</v>
      </c>
      <c r="N60" s="10" t="str">
        <f aca="false">$B34</f>
        <v>DIERUN</v>
      </c>
      <c r="O60" s="31" t="n">
        <f aca="false">COUNTIFS($B$46:$B$125,$B34,$C$46:$C$125,$H34,$D$46:$D$125,"A320")</f>
        <v>0</v>
      </c>
      <c r="P60" s="31" t="n">
        <f aca="false">COUNTIFS($B$46:$B$125,$B34,$C$46:$C$125,$H34,$E$46:$E$125,"A320")</f>
        <v>1</v>
      </c>
      <c r="Q60" s="31" t="n">
        <f aca="false">COUNTIFS($B$46:$B$125,$B34,$C$46:$C$125,$H34,$F$46:$F$125,"A320")</f>
        <v>0</v>
      </c>
      <c r="R60" s="31" t="n">
        <f aca="false">COUNTIFS($B$46:$B$125,$B34,$C$46:$C$125,$H34,$G$46:$G$125,"A320")</f>
        <v>0</v>
      </c>
      <c r="S60" s="31" t="n">
        <f aca="false">COUNTIFS($B$46:$B$125,$B34,$C$46:$C$125,$H34,$H$46:$H$125,"A320")</f>
        <v>0</v>
      </c>
      <c r="T60" s="31" t="n">
        <f aca="false">COUNTIFS($B$46:$B$125,$B34,$C$46:$C$125,$H34,$I$46:$I$125,"A320")</f>
        <v>1</v>
      </c>
      <c r="U60" s="31" t="n">
        <f aca="false">COUNTIFS($B$46:$B$125,$B34,$C$46:$C$125,$H34,$J$46:$J$125,"A320")</f>
        <v>0</v>
      </c>
    </row>
    <row r="61" customFormat="false" ht="15" hidden="false" customHeight="false" outlineLevel="0" collapsed="false">
      <c r="B61" s="45" t="s">
        <v>67</v>
      </c>
      <c r="C61" s="46" t="s">
        <v>14</v>
      </c>
      <c r="D61" s="47"/>
      <c r="E61" s="47"/>
      <c r="F61" s="47"/>
      <c r="G61" s="47"/>
      <c r="H61" s="47" t="s">
        <v>25</v>
      </c>
      <c r="I61" s="47"/>
      <c r="J61" s="47"/>
      <c r="K61" s="48" t="n">
        <f aca="false">IF($B61="","",COUNTA(D61:J61))</f>
        <v>1</v>
      </c>
      <c r="L61" s="49" t="str">
        <f aca="false">IF($B61="","",IF(OR($C61=$C$4,AND($C61="TOUS",COUNTIFS($B$46:$B$125,$B61,$C$46:$C$125,$C$4)=0)),"APPLIQUE",""))</f>
        <v>APPLIQUE</v>
      </c>
      <c r="N61" s="10" t="str">
        <f aca="false">$B35</f>
        <v>RRGRUN</v>
      </c>
      <c r="O61" s="31" t="n">
        <f aca="false">COUNTIFS($B$46:$B$125,$B35,$C$46:$C$125,$H35,$D$46:$D$125,"A320")</f>
        <v>1</v>
      </c>
      <c r="P61" s="31" t="n">
        <f aca="false">COUNTIFS($B$46:$B$125,$B35,$C$46:$C$125,$H35,$E$46:$E$125,"A320")</f>
        <v>1</v>
      </c>
      <c r="Q61" s="31" t="n">
        <f aca="false">COUNTIFS($B$46:$B$125,$B35,$C$46:$C$125,$H35,$F$46:$F$125,"A320")</f>
        <v>1</v>
      </c>
      <c r="R61" s="31" t="n">
        <f aca="false">COUNTIFS($B$46:$B$125,$B35,$C$46:$C$125,$H35,$G$46:$G$125,"A320")</f>
        <v>1</v>
      </c>
      <c r="S61" s="31" t="n">
        <f aca="false">COUNTIFS($B$46:$B$125,$B35,$C$46:$C$125,$H35,$H$46:$H$125,"A320")</f>
        <v>3</v>
      </c>
      <c r="T61" s="31" t="n">
        <f aca="false">COUNTIFS($B$46:$B$125,$B35,$C$46:$C$125,$H35,$I$46:$I$125,"A320")</f>
        <v>1</v>
      </c>
      <c r="U61" s="31" t="n">
        <f aca="false">COUNTIFS($B$46:$B$125,$B35,$C$46:$C$125,$H35,$J$46:$J$125,"A320")</f>
        <v>0</v>
      </c>
    </row>
    <row r="62" customFormat="false" ht="15" hidden="false" customHeight="false" outlineLevel="0" collapsed="false">
      <c r="B62" s="45" t="s">
        <v>70</v>
      </c>
      <c r="C62" s="46" t="s">
        <v>14</v>
      </c>
      <c r="D62" s="47"/>
      <c r="E62" s="47"/>
      <c r="F62" s="47" t="s">
        <v>25</v>
      </c>
      <c r="G62" s="47"/>
      <c r="H62" s="47"/>
      <c r="I62" s="47"/>
      <c r="J62" s="47" t="s">
        <v>25</v>
      </c>
      <c r="K62" s="48" t="n">
        <f aca="false">IF($B62="","",COUNTA(D62:J62))</f>
        <v>2</v>
      </c>
      <c r="L62" s="49" t="str">
        <f aca="false">IF($B62="","",IF(OR($C62=$C$4,AND($C62="TOUS",COUNTIFS($B$46:$B$125,$B62,$C$46:$C$125,$C$4)=0)),"APPLIQUE",""))</f>
        <v>APPLIQUE</v>
      </c>
      <c r="N62" s="10" t="str">
        <f aca="false">$B36</f>
        <v>TMMRUN</v>
      </c>
      <c r="O62" s="31" t="n">
        <f aca="false">COUNTIFS($B$46:$B$125,$B36,$C$46:$C$125,$H36,$D$46:$D$125,"A320")</f>
        <v>0</v>
      </c>
      <c r="P62" s="31" t="n">
        <f aca="false">COUNTIFS($B$46:$B$125,$B36,$C$46:$C$125,$H36,$E$46:$E$125,"A320")</f>
        <v>0</v>
      </c>
      <c r="Q62" s="31" t="n">
        <f aca="false">COUNTIFS($B$46:$B$125,$B36,$C$46:$C$125,$H36,$F$46:$F$125,"A320")</f>
        <v>1</v>
      </c>
      <c r="R62" s="31" t="n">
        <f aca="false">COUNTIFS($B$46:$B$125,$B36,$C$46:$C$125,$H36,$G$46:$G$125,"A320")</f>
        <v>0</v>
      </c>
      <c r="S62" s="31" t="n">
        <f aca="false">COUNTIFS($B$46:$B$125,$B36,$C$46:$C$125,$H36,$H$46:$H$125,"A320")</f>
        <v>0</v>
      </c>
      <c r="T62" s="31" t="n">
        <f aca="false">COUNTIFS($B$46:$B$125,$B36,$C$46:$C$125,$H36,$I$46:$I$125,"A320")</f>
        <v>0</v>
      </c>
      <c r="U62" s="31" t="n">
        <f aca="false">COUNTIFS($B$46:$B$125,$B36,$C$46:$C$125,$H36,$J$46:$J$125,"A320")</f>
        <v>1</v>
      </c>
    </row>
    <row r="63" customFormat="false" ht="15" hidden="false" customHeight="false" outlineLevel="0" collapsed="false">
      <c r="B63" s="45" t="s">
        <v>16</v>
      </c>
      <c r="C63" s="46" t="s">
        <v>36</v>
      </c>
      <c r="D63" s="47" t="s">
        <v>25</v>
      </c>
      <c r="E63" s="47"/>
      <c r="F63" s="47" t="s">
        <v>25</v>
      </c>
      <c r="G63" s="47" t="s">
        <v>25</v>
      </c>
      <c r="H63" s="47"/>
      <c r="I63" s="47" t="s">
        <v>25</v>
      </c>
      <c r="J63" s="47"/>
      <c r="K63" s="48" t="n">
        <f aca="false">IF($B63="","",COUNTA(D63:J63))</f>
        <v>4</v>
      </c>
      <c r="L63" s="49" t="str">
        <f aca="false">IF($B63="","",IF(OR($C63=$C$4,AND($C63="TOUS",COUNTIFS($B$46:$B$125,$B63,$C$46:$C$125,$C$4)=0)),"APPLIQUE",""))</f>
        <v/>
      </c>
    </row>
    <row r="64" customFormat="false" ht="15" hidden="false" customHeight="false" outlineLevel="0" collapsed="false">
      <c r="B64" s="45" t="s">
        <v>16</v>
      </c>
      <c r="C64" s="46" t="s">
        <v>52</v>
      </c>
      <c r="D64" s="47" t="s">
        <v>25</v>
      </c>
      <c r="E64" s="47" t="s">
        <v>25</v>
      </c>
      <c r="F64" s="47"/>
      <c r="G64" s="47" t="s">
        <v>25</v>
      </c>
      <c r="H64" s="47"/>
      <c r="I64" s="47" t="s">
        <v>25</v>
      </c>
      <c r="J64" s="47" t="s">
        <v>25</v>
      </c>
      <c r="K64" s="48" t="n">
        <f aca="false">IF($B64="","",COUNTA(D64:J64))</f>
        <v>5</v>
      </c>
      <c r="L64" s="49" t="str">
        <f aca="false">IF($B64="","",IF(OR($C64=$C$4,AND($C64="TOUS",COUNTIFS($B$46:$B$125,$B64,$C$46:$C$125,$C$4)=0)),"APPLIQUE",""))</f>
        <v/>
      </c>
    </row>
    <row r="65" customFormat="false" ht="15" hidden="false" customHeight="false" outlineLevel="0" collapsed="false">
      <c r="B65" s="45" t="s">
        <v>13</v>
      </c>
      <c r="C65" s="46" t="s">
        <v>40</v>
      </c>
      <c r="D65" s="47" t="s">
        <v>12</v>
      </c>
      <c r="E65" s="47" t="s">
        <v>12</v>
      </c>
      <c r="F65" s="47" t="s">
        <v>12</v>
      </c>
      <c r="G65" s="47" t="s">
        <v>12</v>
      </c>
      <c r="H65" s="47" t="s">
        <v>12</v>
      </c>
      <c r="I65" s="47" t="s">
        <v>12</v>
      </c>
      <c r="J65" s="47" t="s">
        <v>12</v>
      </c>
      <c r="K65" s="48" t="n">
        <f aca="false">IF($B65="","",COUNTA(D65:J65))</f>
        <v>7</v>
      </c>
      <c r="L65" s="49" t="str">
        <f aca="false">IF($B65="","",IF(OR($C65=$C$4,AND($C65="TOUS",COUNTIFS($B$46:$B$125,$B65,$C$46:$C$125,$C$4)=0)),"APPLIQUE",""))</f>
        <v/>
      </c>
    </row>
    <row r="66" customFormat="false" ht="15" hidden="false" customHeight="false" outlineLevel="0" collapsed="false">
      <c r="B66" s="45" t="s">
        <v>13</v>
      </c>
      <c r="C66" s="46" t="s">
        <v>40</v>
      </c>
      <c r="D66" s="47" t="s">
        <v>20</v>
      </c>
      <c r="E66" s="47" t="s">
        <v>20</v>
      </c>
      <c r="F66" s="47" t="s">
        <v>20</v>
      </c>
      <c r="G66" s="47" t="s">
        <v>20</v>
      </c>
      <c r="H66" s="47" t="s">
        <v>20</v>
      </c>
      <c r="I66" s="47" t="s">
        <v>20</v>
      </c>
      <c r="J66" s="47" t="s">
        <v>20</v>
      </c>
      <c r="K66" s="48" t="n">
        <f aca="false">IF($B66="","",COUNTA(D66:J66))</f>
        <v>7</v>
      </c>
      <c r="L66" s="49" t="str">
        <f aca="false">IF($B66="","",IF(OR($C66=$C$4,AND($C66="TOUS",COUNTIFS($B$46:$B$125,$B66,$C$46:$C$125,$C$4)=0)),"APPLIQUE",""))</f>
        <v/>
      </c>
    </row>
    <row r="67" customFormat="false" ht="15" hidden="false" customHeight="false" outlineLevel="0" collapsed="false">
      <c r="B67" s="45"/>
      <c r="C67" s="46"/>
      <c r="D67" s="47"/>
      <c r="E67" s="47"/>
      <c r="F67" s="47"/>
      <c r="G67" s="47"/>
      <c r="H67" s="47"/>
      <c r="I67" s="47"/>
      <c r="J67" s="47"/>
      <c r="K67" s="48" t="str">
        <f aca="false">IF($B67="","",COUNTA(D67:J67))</f>
        <v/>
      </c>
      <c r="L67" s="49" t="str">
        <f aca="false">IF($B67="","",IF(OR($C67=$C$4,AND($C67="TOUS",COUNTIFS($B$46:$B$125,$B67,$C$46:$C$125,$C$4)=0)),"APPLIQUE",""))</f>
        <v/>
      </c>
    </row>
    <row r="68" customFormat="false" ht="15" hidden="false" customHeight="false" outlineLevel="0" collapsed="false">
      <c r="B68" s="45"/>
      <c r="C68" s="46"/>
      <c r="D68" s="47"/>
      <c r="E68" s="47"/>
      <c r="F68" s="47"/>
      <c r="G68" s="47"/>
      <c r="H68" s="47"/>
      <c r="I68" s="47"/>
      <c r="J68" s="47"/>
      <c r="K68" s="48" t="str">
        <f aca="false">IF($B68="","",COUNTA(D68:J68))</f>
        <v/>
      </c>
      <c r="L68" s="49" t="str">
        <f aca="false">IF($B68="","",IF(OR($C68=$C$4,AND($C68="TOUS",COUNTIFS($B$46:$B$125,$B68,$C$46:$C$125,$C$4)=0)),"APPLIQUE",""))</f>
        <v/>
      </c>
    </row>
    <row r="69" customFormat="false" ht="15" hidden="false" customHeight="false" outlineLevel="0" collapsed="false">
      <c r="B69" s="45"/>
      <c r="C69" s="46"/>
      <c r="D69" s="47"/>
      <c r="E69" s="47"/>
      <c r="F69" s="47"/>
      <c r="G69" s="47"/>
      <c r="H69" s="47"/>
      <c r="I69" s="47"/>
      <c r="J69" s="47"/>
      <c r="K69" s="48" t="str">
        <f aca="false">IF($B69="","",COUNTA(D69:J69))</f>
        <v/>
      </c>
      <c r="L69" s="49" t="str">
        <f aca="false">IF($B69="","",IF(OR($C69=$C$4,AND($C69="TOUS",COUNTIFS($B$46:$B$125,$B69,$C$46:$C$125,$C$4)=0)),"APPLIQUE",""))</f>
        <v/>
      </c>
    </row>
    <row r="70" customFormat="false" ht="15" hidden="false" customHeight="false" outlineLevel="0" collapsed="false">
      <c r="B70" s="45"/>
      <c r="C70" s="46"/>
      <c r="D70" s="47"/>
      <c r="E70" s="47"/>
      <c r="F70" s="47"/>
      <c r="G70" s="47"/>
      <c r="H70" s="47"/>
      <c r="I70" s="47"/>
      <c r="J70" s="47"/>
      <c r="K70" s="48" t="str">
        <f aca="false">IF($B70="","",COUNTA(D70:J70))</f>
        <v/>
      </c>
      <c r="L70" s="49" t="str">
        <f aca="false">IF($B70="","",IF(OR($C70=$C$4,AND($C70="TOUS",COUNTIFS($B$46:$B$125,$B70,$C$46:$C$125,$C$4)=0)),"APPLIQUE",""))</f>
        <v/>
      </c>
    </row>
    <row r="71" customFormat="false" ht="15" hidden="false" customHeight="false" outlineLevel="0" collapsed="false">
      <c r="B71" s="45"/>
      <c r="C71" s="46"/>
      <c r="D71" s="47"/>
      <c r="E71" s="47"/>
      <c r="F71" s="47"/>
      <c r="G71" s="47"/>
      <c r="H71" s="47"/>
      <c r="I71" s="47"/>
      <c r="J71" s="47"/>
      <c r="K71" s="48" t="str">
        <f aca="false">IF($B71="","",COUNTA(D71:J71))</f>
        <v/>
      </c>
      <c r="L71" s="49" t="str">
        <f aca="false">IF($B71="","",IF(OR($C71=$C$4,AND($C71="TOUS",COUNTIFS($B$46:$B$125,$B71,$C$46:$C$125,$C$4)=0)),"APPLIQUE",""))</f>
        <v/>
      </c>
    </row>
    <row r="72" customFormat="false" ht="15" hidden="false" customHeight="false" outlineLevel="0" collapsed="false">
      <c r="B72" s="45"/>
      <c r="C72" s="46"/>
      <c r="D72" s="47"/>
      <c r="E72" s="47"/>
      <c r="F72" s="47"/>
      <c r="G72" s="47"/>
      <c r="H72" s="47"/>
      <c r="I72" s="47"/>
      <c r="J72" s="47"/>
      <c r="K72" s="48" t="str">
        <f aca="false">IF($B72="","",COUNTA(D72:J72))</f>
        <v/>
      </c>
      <c r="L72" s="49" t="str">
        <f aca="false">IF($B72="","",IF(OR($C72=$C$4,AND($C72="TOUS",COUNTIFS($B$46:$B$125,$B72,$C$46:$C$125,$C$4)=0)),"APPLIQUE",""))</f>
        <v/>
      </c>
    </row>
    <row r="73" customFormat="false" ht="15" hidden="false" customHeight="false" outlineLevel="0" collapsed="false">
      <c r="B73" s="45"/>
      <c r="C73" s="46"/>
      <c r="D73" s="47"/>
      <c r="E73" s="47"/>
      <c r="F73" s="47"/>
      <c r="G73" s="47"/>
      <c r="H73" s="47"/>
      <c r="I73" s="47"/>
      <c r="J73" s="47"/>
      <c r="K73" s="48" t="str">
        <f aca="false">IF($B73="","",COUNTA(D73:J73))</f>
        <v/>
      </c>
      <c r="L73" s="49" t="str">
        <f aca="false">IF($B73="","",IF(OR($C73=$C$4,AND($C73="TOUS",COUNTIFS($B$46:$B$125,$B73,$C$46:$C$125,$C$4)=0)),"APPLIQUE",""))</f>
        <v/>
      </c>
    </row>
    <row r="74" customFormat="false" ht="15" hidden="false" customHeight="false" outlineLevel="0" collapsed="false">
      <c r="B74" s="45"/>
      <c r="C74" s="46"/>
      <c r="D74" s="47"/>
      <c r="E74" s="47"/>
      <c r="F74" s="47"/>
      <c r="G74" s="47"/>
      <c r="H74" s="47"/>
      <c r="I74" s="47"/>
      <c r="J74" s="47"/>
      <c r="K74" s="48" t="str">
        <f aca="false">IF($B74="","",COUNTA(D74:J74))</f>
        <v/>
      </c>
      <c r="L74" s="49" t="str">
        <f aca="false">IF($B74="","",IF(OR($C74=$C$4,AND($C74="TOUS",COUNTIFS($B$46:$B$125,$B74,$C$46:$C$125,$C$4)=0)),"APPLIQUE",""))</f>
        <v/>
      </c>
    </row>
    <row r="75" customFormat="false" ht="15" hidden="false" customHeight="false" outlineLevel="0" collapsed="false">
      <c r="B75" s="45"/>
      <c r="C75" s="46"/>
      <c r="D75" s="47"/>
      <c r="E75" s="47"/>
      <c r="F75" s="47"/>
      <c r="G75" s="47"/>
      <c r="H75" s="47"/>
      <c r="I75" s="47"/>
      <c r="J75" s="47"/>
      <c r="K75" s="48" t="str">
        <f aca="false">IF($B75="","",COUNTA(D75:J75))</f>
        <v/>
      </c>
      <c r="L75" s="49" t="str">
        <f aca="false">IF($B75="","",IF(OR($C75=$C$4,AND($C75="TOUS",COUNTIFS($B$46:$B$125,$B75,$C$46:$C$125,$C$4)=0)),"APPLIQUE",""))</f>
        <v/>
      </c>
    </row>
    <row r="76" customFormat="false" ht="15" hidden="false" customHeight="false" outlineLevel="0" collapsed="false">
      <c r="B76" s="45"/>
      <c r="C76" s="46"/>
      <c r="D76" s="47"/>
      <c r="E76" s="47"/>
      <c r="F76" s="47"/>
      <c r="G76" s="47"/>
      <c r="H76" s="47"/>
      <c r="I76" s="47"/>
      <c r="J76" s="47"/>
      <c r="K76" s="48" t="str">
        <f aca="false">IF($B76="","",COUNTA(D76:J76))</f>
        <v/>
      </c>
      <c r="L76" s="49" t="str">
        <f aca="false">IF($B76="","",IF(OR($C76=$C$4,AND($C76="TOUS",COUNTIFS($B$46:$B$125,$B76,$C$46:$C$125,$C$4)=0)),"APPLIQUE",""))</f>
        <v/>
      </c>
    </row>
    <row r="77" customFormat="false" ht="15" hidden="false" customHeight="false" outlineLevel="0" collapsed="false">
      <c r="B77" s="45"/>
      <c r="C77" s="46"/>
      <c r="D77" s="47"/>
      <c r="E77" s="47"/>
      <c r="F77" s="47"/>
      <c r="G77" s="47"/>
      <c r="H77" s="47"/>
      <c r="I77" s="47"/>
      <c r="J77" s="47"/>
      <c r="K77" s="48" t="str">
        <f aca="false">IF($B77="","",COUNTA(D77:J77))</f>
        <v/>
      </c>
      <c r="L77" s="49" t="str">
        <f aca="false">IF($B77="","",IF(OR($C77=$C$4,AND($C77="TOUS",COUNTIFS($B$46:$B$125,$B77,$C$46:$C$125,$C$4)=0)),"APPLIQUE",""))</f>
        <v/>
      </c>
    </row>
    <row r="78" customFormat="false" ht="15" hidden="false" customHeight="false" outlineLevel="0" collapsed="false">
      <c r="B78" s="45"/>
      <c r="C78" s="46"/>
      <c r="D78" s="47"/>
      <c r="E78" s="47"/>
      <c r="F78" s="47"/>
      <c r="G78" s="47"/>
      <c r="H78" s="47"/>
      <c r="I78" s="47"/>
      <c r="J78" s="47"/>
      <c r="K78" s="48" t="str">
        <f aca="false">IF($B78="","",COUNTA(D78:J78))</f>
        <v/>
      </c>
      <c r="L78" s="49" t="str">
        <f aca="false">IF($B78="","",IF(OR($C78=$C$4,AND($C78="TOUS",COUNTIFS($B$46:$B$125,$B78,$C$46:$C$125,$C$4)=0)),"APPLIQUE",""))</f>
        <v/>
      </c>
    </row>
    <row r="79" customFormat="false" ht="15" hidden="false" customHeight="false" outlineLevel="0" collapsed="false">
      <c r="B79" s="45"/>
      <c r="C79" s="46"/>
      <c r="D79" s="47"/>
      <c r="E79" s="47"/>
      <c r="F79" s="47"/>
      <c r="G79" s="47"/>
      <c r="H79" s="47"/>
      <c r="I79" s="47"/>
      <c r="J79" s="47"/>
      <c r="K79" s="48" t="str">
        <f aca="false">IF($B79="","",COUNTA(D79:J79))</f>
        <v/>
      </c>
      <c r="L79" s="49" t="str">
        <f aca="false">IF($B79="","",IF(OR($C79=$C$4,AND($C79="TOUS",COUNTIFS($B$46:$B$125,$B79,$C$46:$C$125,$C$4)=0)),"APPLIQUE",""))</f>
        <v/>
      </c>
    </row>
    <row r="80" customFormat="false" ht="15" hidden="false" customHeight="false" outlineLevel="0" collapsed="false">
      <c r="B80" s="45"/>
      <c r="C80" s="46"/>
      <c r="D80" s="47"/>
      <c r="E80" s="47"/>
      <c r="F80" s="47"/>
      <c r="G80" s="47"/>
      <c r="H80" s="47"/>
      <c r="I80" s="47"/>
      <c r="J80" s="47"/>
      <c r="K80" s="48" t="str">
        <f aca="false">IF($B80="","",COUNTA(D80:J80))</f>
        <v/>
      </c>
      <c r="L80" s="49" t="str">
        <f aca="false">IF($B80="","",IF(OR($C80=$C$4,AND($C80="TOUS",COUNTIFS($B$46:$B$125,$B80,$C$46:$C$125,$C$4)=0)),"APPLIQUE",""))</f>
        <v/>
      </c>
    </row>
    <row r="81" customFormat="false" ht="15" hidden="false" customHeight="false" outlineLevel="0" collapsed="false">
      <c r="B81" s="45"/>
      <c r="C81" s="46"/>
      <c r="D81" s="47"/>
      <c r="E81" s="47"/>
      <c r="F81" s="47"/>
      <c r="G81" s="47"/>
      <c r="H81" s="47"/>
      <c r="I81" s="47"/>
      <c r="J81" s="47"/>
      <c r="K81" s="48" t="str">
        <f aca="false">IF($B81="","",COUNTA(D81:J81))</f>
        <v/>
      </c>
      <c r="L81" s="49" t="str">
        <f aca="false">IF($B81="","",IF(OR($C81=$C$4,AND($C81="TOUS",COUNTIFS($B$46:$B$125,$B81,$C$46:$C$125,$C$4)=0)),"APPLIQUE",""))</f>
        <v/>
      </c>
    </row>
    <row r="82" customFormat="false" ht="15" hidden="false" customHeight="false" outlineLevel="0" collapsed="false">
      <c r="B82" s="45"/>
      <c r="C82" s="46"/>
      <c r="D82" s="47"/>
      <c r="E82" s="47"/>
      <c r="F82" s="47"/>
      <c r="G82" s="47"/>
      <c r="H82" s="47"/>
      <c r="I82" s="47"/>
      <c r="J82" s="47"/>
      <c r="K82" s="48" t="str">
        <f aca="false">IF($B82="","",COUNTA(D82:J82))</f>
        <v/>
      </c>
      <c r="L82" s="49" t="str">
        <f aca="false">IF($B82="","",IF(OR($C82=$C$4,AND($C82="TOUS",COUNTIFS($B$46:$B$125,$B82,$C$46:$C$125,$C$4)=0)),"APPLIQUE",""))</f>
        <v/>
      </c>
    </row>
    <row r="83" customFormat="false" ht="15" hidden="false" customHeight="false" outlineLevel="0" collapsed="false">
      <c r="B83" s="45"/>
      <c r="C83" s="46"/>
      <c r="D83" s="47"/>
      <c r="E83" s="47"/>
      <c r="F83" s="47"/>
      <c r="G83" s="47"/>
      <c r="H83" s="47"/>
      <c r="I83" s="47"/>
      <c r="J83" s="47"/>
      <c r="K83" s="48" t="str">
        <f aca="false">IF($B83="","",COUNTA(D83:J83))</f>
        <v/>
      </c>
      <c r="L83" s="49" t="str">
        <f aca="false">IF($B83="","",IF(OR($C83=$C$4,AND($C83="TOUS",COUNTIFS($B$46:$B$125,$B83,$C$46:$C$125,$C$4)=0)),"APPLIQUE",""))</f>
        <v/>
      </c>
    </row>
    <row r="84" customFormat="false" ht="15" hidden="false" customHeight="false" outlineLevel="0" collapsed="false">
      <c r="B84" s="45"/>
      <c r="C84" s="46"/>
      <c r="D84" s="47"/>
      <c r="E84" s="47"/>
      <c r="F84" s="47"/>
      <c r="G84" s="47"/>
      <c r="H84" s="47"/>
      <c r="I84" s="47"/>
      <c r="J84" s="47"/>
      <c r="K84" s="48" t="str">
        <f aca="false">IF($B84="","",COUNTA(D84:J84))</f>
        <v/>
      </c>
      <c r="L84" s="49" t="str">
        <f aca="false">IF($B84="","",IF(OR($C84=$C$4,AND($C84="TOUS",COUNTIFS($B$46:$B$125,$B84,$C$46:$C$125,$C$4)=0)),"APPLIQUE",""))</f>
        <v/>
      </c>
    </row>
    <row r="85" customFormat="false" ht="15" hidden="false" customHeight="false" outlineLevel="0" collapsed="false">
      <c r="B85" s="45"/>
      <c r="C85" s="46"/>
      <c r="D85" s="47"/>
      <c r="E85" s="47"/>
      <c r="F85" s="47"/>
      <c r="G85" s="47"/>
      <c r="H85" s="47"/>
      <c r="I85" s="47"/>
      <c r="J85" s="47"/>
      <c r="K85" s="48" t="str">
        <f aca="false">IF($B85="","",COUNTA(D85:J85))</f>
        <v/>
      </c>
      <c r="L85" s="49" t="str">
        <f aca="false">IF($B85="","",IF(OR($C85=$C$4,AND($C85="TOUS",COUNTIFS($B$46:$B$125,$B85,$C$46:$C$125,$C$4)=0)),"APPLIQUE",""))</f>
        <v/>
      </c>
    </row>
    <row r="86" customFormat="false" ht="15" hidden="false" customHeight="false" outlineLevel="0" collapsed="false">
      <c r="B86" s="45"/>
      <c r="C86" s="46"/>
      <c r="D86" s="47"/>
      <c r="E86" s="47"/>
      <c r="F86" s="47"/>
      <c r="G86" s="47"/>
      <c r="H86" s="47"/>
      <c r="I86" s="47"/>
      <c r="J86" s="47"/>
      <c r="K86" s="48" t="str">
        <f aca="false">IF($B86="","",COUNTA(D86:J86))</f>
        <v/>
      </c>
      <c r="L86" s="49" t="str">
        <f aca="false">IF($B86="","",IF(OR($C86=$C$4,AND($C86="TOUS",COUNTIFS($B$46:$B$125,$B86,$C$46:$C$125,$C$4)=0)),"APPLIQUE",""))</f>
        <v/>
      </c>
    </row>
    <row r="87" customFormat="false" ht="15" hidden="false" customHeight="false" outlineLevel="0" collapsed="false">
      <c r="B87" s="45"/>
      <c r="C87" s="46"/>
      <c r="D87" s="47"/>
      <c r="E87" s="47"/>
      <c r="F87" s="47"/>
      <c r="G87" s="47"/>
      <c r="H87" s="47"/>
      <c r="I87" s="47"/>
      <c r="J87" s="47"/>
      <c r="K87" s="48" t="str">
        <f aca="false">IF($B87="","",COUNTA(D87:J87))</f>
        <v/>
      </c>
      <c r="L87" s="49" t="str">
        <f aca="false">IF($B87="","",IF(OR($C87=$C$4,AND($C87="TOUS",COUNTIFS($B$46:$B$125,$B87,$C$46:$C$125,$C$4)=0)),"APPLIQUE",""))</f>
        <v/>
      </c>
    </row>
    <row r="88" customFormat="false" ht="15" hidden="false" customHeight="false" outlineLevel="0" collapsed="false">
      <c r="B88" s="45"/>
      <c r="C88" s="46"/>
      <c r="D88" s="47"/>
      <c r="E88" s="47"/>
      <c r="F88" s="47"/>
      <c r="G88" s="47"/>
      <c r="H88" s="47"/>
      <c r="I88" s="47"/>
      <c r="J88" s="47"/>
      <c r="K88" s="48" t="str">
        <f aca="false">IF($B88="","",COUNTA(D88:J88))</f>
        <v/>
      </c>
      <c r="L88" s="49" t="str">
        <f aca="false">IF($B88="","",IF(OR($C88=$C$4,AND($C88="TOUS",COUNTIFS($B$46:$B$125,$B88,$C$46:$C$125,$C$4)=0)),"APPLIQUE",""))</f>
        <v/>
      </c>
    </row>
    <row r="89" customFormat="false" ht="15" hidden="false" customHeight="false" outlineLevel="0" collapsed="false">
      <c r="B89" s="45"/>
      <c r="C89" s="46"/>
      <c r="D89" s="47"/>
      <c r="E89" s="47"/>
      <c r="F89" s="47"/>
      <c r="G89" s="47"/>
      <c r="H89" s="47"/>
      <c r="I89" s="47"/>
      <c r="J89" s="47"/>
      <c r="K89" s="48" t="str">
        <f aca="false">IF($B89="","",COUNTA(D89:J89))</f>
        <v/>
      </c>
      <c r="L89" s="49" t="str">
        <f aca="false">IF($B89="","",IF(OR($C89=$C$4,AND($C89="TOUS",COUNTIFS($B$46:$B$125,$B89,$C$46:$C$125,$C$4)=0)),"APPLIQUE",""))</f>
        <v/>
      </c>
    </row>
    <row r="90" customFormat="false" ht="15" hidden="false" customHeight="false" outlineLevel="0" collapsed="false">
      <c r="B90" s="45"/>
      <c r="C90" s="46"/>
      <c r="D90" s="47"/>
      <c r="E90" s="47"/>
      <c r="F90" s="47"/>
      <c r="G90" s="47"/>
      <c r="H90" s="47"/>
      <c r="I90" s="47"/>
      <c r="J90" s="47"/>
      <c r="K90" s="48" t="str">
        <f aca="false">IF($B90="","",COUNTA(D90:J90))</f>
        <v/>
      </c>
      <c r="L90" s="49" t="str">
        <f aca="false">IF($B90="","",IF(OR($C90=$C$4,AND($C90="TOUS",COUNTIFS($B$46:$B$125,$B90,$C$46:$C$125,$C$4)=0)),"APPLIQUE",""))</f>
        <v/>
      </c>
    </row>
    <row r="91" customFormat="false" ht="15" hidden="false" customHeight="false" outlineLevel="0" collapsed="false">
      <c r="B91" s="45"/>
      <c r="C91" s="46"/>
      <c r="D91" s="47"/>
      <c r="E91" s="47"/>
      <c r="F91" s="47"/>
      <c r="G91" s="47"/>
      <c r="H91" s="47"/>
      <c r="I91" s="47"/>
      <c r="J91" s="47"/>
      <c r="K91" s="48" t="str">
        <f aca="false">IF($B91="","",COUNTA(D91:J91))</f>
        <v/>
      </c>
      <c r="L91" s="49" t="str">
        <f aca="false">IF($B91="","",IF(OR($C91=$C$4,AND($C91="TOUS",COUNTIFS($B$46:$B$125,$B91,$C$46:$C$125,$C$4)=0)),"APPLIQUE",""))</f>
        <v/>
      </c>
    </row>
    <row r="92" customFormat="false" ht="15" hidden="false" customHeight="false" outlineLevel="0" collapsed="false">
      <c r="B92" s="45"/>
      <c r="C92" s="46"/>
      <c r="D92" s="47"/>
      <c r="E92" s="47"/>
      <c r="F92" s="47"/>
      <c r="G92" s="47"/>
      <c r="H92" s="47"/>
      <c r="I92" s="47"/>
      <c r="J92" s="47"/>
      <c r="K92" s="48" t="str">
        <f aca="false">IF($B92="","",COUNTA(D92:J92))</f>
        <v/>
      </c>
      <c r="L92" s="49" t="str">
        <f aca="false">IF($B92="","",IF(OR($C92=$C$4,AND($C92="TOUS",COUNTIFS($B$46:$B$125,$B92,$C$46:$C$125,$C$4)=0)),"APPLIQUE",""))</f>
        <v/>
      </c>
    </row>
    <row r="93" customFormat="false" ht="15" hidden="false" customHeight="false" outlineLevel="0" collapsed="false">
      <c r="B93" s="45"/>
      <c r="C93" s="46"/>
      <c r="D93" s="47"/>
      <c r="E93" s="47"/>
      <c r="F93" s="47"/>
      <c r="G93" s="47"/>
      <c r="H93" s="47"/>
      <c r="I93" s="47"/>
      <c r="J93" s="47"/>
      <c r="K93" s="48" t="str">
        <f aca="false">IF($B93="","",COUNTA(D93:J93))</f>
        <v/>
      </c>
      <c r="L93" s="49" t="str">
        <f aca="false">IF($B93="","",IF(OR($C93=$C$4,AND($C93="TOUS",COUNTIFS($B$46:$B$125,$B93,$C$46:$C$125,$C$4)=0)),"APPLIQUE",""))</f>
        <v/>
      </c>
    </row>
    <row r="94" customFormat="false" ht="15" hidden="false" customHeight="false" outlineLevel="0" collapsed="false">
      <c r="B94" s="45"/>
      <c r="C94" s="46"/>
      <c r="D94" s="47"/>
      <c r="E94" s="47"/>
      <c r="F94" s="47"/>
      <c r="G94" s="47"/>
      <c r="H94" s="47"/>
      <c r="I94" s="47"/>
      <c r="J94" s="47"/>
      <c r="K94" s="48" t="str">
        <f aca="false">IF($B94="","",COUNTA(D94:J94))</f>
        <v/>
      </c>
      <c r="L94" s="49" t="str">
        <f aca="false">IF($B94="","",IF(OR($C94=$C$4,AND($C94="TOUS",COUNTIFS($B$46:$B$125,$B94,$C$46:$C$125,$C$4)=0)),"APPLIQUE",""))</f>
        <v/>
      </c>
    </row>
    <row r="95" customFormat="false" ht="15" hidden="false" customHeight="false" outlineLevel="0" collapsed="false">
      <c r="B95" s="45"/>
      <c r="C95" s="46"/>
      <c r="D95" s="47"/>
      <c r="E95" s="47"/>
      <c r="F95" s="47"/>
      <c r="G95" s="47"/>
      <c r="H95" s="47"/>
      <c r="I95" s="47"/>
      <c r="J95" s="47"/>
      <c r="K95" s="48" t="str">
        <f aca="false">IF($B95="","",COUNTA(D95:J95))</f>
        <v/>
      </c>
      <c r="L95" s="49" t="str">
        <f aca="false">IF($B95="","",IF(OR($C95=$C$4,AND($C95="TOUS",COUNTIFS($B$46:$B$125,$B95,$C$46:$C$125,$C$4)=0)),"APPLIQUE",""))</f>
        <v/>
      </c>
    </row>
    <row r="96" customFormat="false" ht="15" hidden="false" customHeight="false" outlineLevel="0" collapsed="false">
      <c r="B96" s="45"/>
      <c r="C96" s="46"/>
      <c r="D96" s="47"/>
      <c r="E96" s="47"/>
      <c r="F96" s="47"/>
      <c r="G96" s="47"/>
      <c r="H96" s="47"/>
      <c r="I96" s="47"/>
      <c r="J96" s="47"/>
      <c r="K96" s="48" t="str">
        <f aca="false">IF($B96="","",COUNTA(D96:J96))</f>
        <v/>
      </c>
      <c r="L96" s="49" t="str">
        <f aca="false">IF($B96="","",IF(OR($C96=$C$4,AND($C96="TOUS",COUNTIFS($B$46:$B$125,$B96,$C$46:$C$125,$C$4)=0)),"APPLIQUE",""))</f>
        <v/>
      </c>
    </row>
    <row r="97" customFormat="false" ht="15" hidden="false" customHeight="false" outlineLevel="0" collapsed="false">
      <c r="B97" s="45"/>
      <c r="C97" s="46"/>
      <c r="D97" s="47"/>
      <c r="E97" s="47"/>
      <c r="F97" s="47"/>
      <c r="G97" s="47"/>
      <c r="H97" s="47"/>
      <c r="I97" s="47"/>
      <c r="J97" s="47"/>
      <c r="K97" s="48" t="str">
        <f aca="false">IF($B97="","",COUNTA(D97:J97))</f>
        <v/>
      </c>
      <c r="L97" s="49" t="str">
        <f aca="false">IF($B97="","",IF(OR($C97=$C$4,AND($C97="TOUS",COUNTIFS($B$46:$B$125,$B97,$C$46:$C$125,$C$4)=0)),"APPLIQUE",""))</f>
        <v/>
      </c>
    </row>
    <row r="98" customFormat="false" ht="15" hidden="false" customHeight="false" outlineLevel="0" collapsed="false">
      <c r="B98" s="45"/>
      <c r="C98" s="46"/>
      <c r="D98" s="47"/>
      <c r="E98" s="47"/>
      <c r="F98" s="47"/>
      <c r="G98" s="47"/>
      <c r="H98" s="47"/>
      <c r="I98" s="47"/>
      <c r="J98" s="47"/>
      <c r="K98" s="48" t="str">
        <f aca="false">IF($B98="","",COUNTA(D98:J98))</f>
        <v/>
      </c>
      <c r="L98" s="49" t="str">
        <f aca="false">IF($B98="","",IF(OR($C98=$C$4,AND($C98="TOUS",COUNTIFS($B$46:$B$125,$B98,$C$46:$C$125,$C$4)=0)),"APPLIQUE",""))</f>
        <v/>
      </c>
    </row>
    <row r="99" customFormat="false" ht="15" hidden="false" customHeight="false" outlineLevel="0" collapsed="false">
      <c r="B99" s="45"/>
      <c r="C99" s="46"/>
      <c r="D99" s="47"/>
      <c r="E99" s="47"/>
      <c r="F99" s="47"/>
      <c r="G99" s="47"/>
      <c r="H99" s="47"/>
      <c r="I99" s="47"/>
      <c r="J99" s="47"/>
      <c r="K99" s="48" t="str">
        <f aca="false">IF($B99="","",COUNTA(D99:J99))</f>
        <v/>
      </c>
      <c r="L99" s="49" t="str">
        <f aca="false">IF($B99="","",IF(OR($C99=$C$4,AND($C99="TOUS",COUNTIFS($B$46:$B$125,$B99,$C$46:$C$125,$C$4)=0)),"APPLIQUE",""))</f>
        <v/>
      </c>
    </row>
    <row r="100" customFormat="false" ht="15" hidden="false" customHeight="false" outlineLevel="0" collapsed="false">
      <c r="B100" s="45"/>
      <c r="C100" s="46"/>
      <c r="D100" s="47"/>
      <c r="E100" s="47"/>
      <c r="F100" s="47"/>
      <c r="G100" s="47"/>
      <c r="H100" s="47"/>
      <c r="I100" s="47"/>
      <c r="J100" s="47"/>
      <c r="K100" s="48" t="str">
        <f aca="false">IF($B100="","",COUNTA(D100:J100))</f>
        <v/>
      </c>
      <c r="L100" s="49" t="str">
        <f aca="false">IF($B100="","",IF(OR($C100=$C$4,AND($C100="TOUS",COUNTIFS($B$46:$B$125,$B100,$C$46:$C$125,$C$4)=0)),"APPLIQUE",""))</f>
        <v/>
      </c>
    </row>
    <row r="101" customFormat="false" ht="15" hidden="false" customHeight="false" outlineLevel="0" collapsed="false">
      <c r="B101" s="45"/>
      <c r="C101" s="46"/>
      <c r="D101" s="47"/>
      <c r="E101" s="47"/>
      <c r="F101" s="47"/>
      <c r="G101" s="47"/>
      <c r="H101" s="47"/>
      <c r="I101" s="47"/>
      <c r="J101" s="47"/>
      <c r="K101" s="48" t="str">
        <f aca="false">IF($B101="","",COUNTA(D101:J101))</f>
        <v/>
      </c>
      <c r="L101" s="49" t="str">
        <f aca="false">IF($B101="","",IF(OR($C101=$C$4,AND($C101="TOUS",COUNTIFS($B$46:$B$125,$B101,$C$46:$C$125,$C$4)=0)),"APPLIQUE",""))</f>
        <v/>
      </c>
    </row>
    <row r="102" customFormat="false" ht="15" hidden="false" customHeight="false" outlineLevel="0" collapsed="false">
      <c r="B102" s="45"/>
      <c r="C102" s="46"/>
      <c r="D102" s="47"/>
      <c r="E102" s="47"/>
      <c r="F102" s="47"/>
      <c r="G102" s="47"/>
      <c r="H102" s="47"/>
      <c r="I102" s="47"/>
      <c r="J102" s="47"/>
      <c r="K102" s="48" t="str">
        <f aca="false">IF($B102="","",COUNTA(D102:J102))</f>
        <v/>
      </c>
      <c r="L102" s="49" t="str">
        <f aca="false">IF($B102="","",IF(OR($C102=$C$4,AND($C102="TOUS",COUNTIFS($B$46:$B$125,$B102,$C$46:$C$125,$C$4)=0)),"APPLIQUE",""))</f>
        <v/>
      </c>
    </row>
    <row r="103" customFormat="false" ht="15" hidden="false" customHeight="false" outlineLevel="0" collapsed="false">
      <c r="B103" s="45"/>
      <c r="C103" s="46"/>
      <c r="D103" s="47"/>
      <c r="E103" s="47"/>
      <c r="F103" s="47"/>
      <c r="G103" s="47"/>
      <c r="H103" s="47"/>
      <c r="I103" s="47"/>
      <c r="J103" s="47"/>
      <c r="K103" s="48" t="str">
        <f aca="false">IF($B103="","",COUNTA(D103:J103))</f>
        <v/>
      </c>
      <c r="L103" s="49" t="str">
        <f aca="false">IF($B103="","",IF(OR($C103=$C$4,AND($C103="TOUS",COUNTIFS($B$46:$B$125,$B103,$C$46:$C$125,$C$4)=0)),"APPLIQUE",""))</f>
        <v/>
      </c>
    </row>
    <row r="104" customFormat="false" ht="15" hidden="false" customHeight="false" outlineLevel="0" collapsed="false">
      <c r="B104" s="45"/>
      <c r="C104" s="46"/>
      <c r="D104" s="47"/>
      <c r="E104" s="47"/>
      <c r="F104" s="47"/>
      <c r="G104" s="47"/>
      <c r="H104" s="47"/>
      <c r="I104" s="47"/>
      <c r="J104" s="47"/>
      <c r="K104" s="48" t="str">
        <f aca="false">IF($B104="","",COUNTA(D104:J104))</f>
        <v/>
      </c>
      <c r="L104" s="49" t="str">
        <f aca="false">IF($B104="","",IF(OR($C104=$C$4,AND($C104="TOUS",COUNTIFS($B$46:$B$125,$B104,$C$46:$C$125,$C$4)=0)),"APPLIQUE",""))</f>
        <v/>
      </c>
    </row>
    <row r="105" customFormat="false" ht="15" hidden="false" customHeight="false" outlineLevel="0" collapsed="false">
      <c r="B105" s="45"/>
      <c r="C105" s="46"/>
      <c r="D105" s="47"/>
      <c r="E105" s="47"/>
      <c r="F105" s="47"/>
      <c r="G105" s="47"/>
      <c r="H105" s="47"/>
      <c r="I105" s="47"/>
      <c r="J105" s="47"/>
      <c r="K105" s="48" t="str">
        <f aca="false">IF($B105="","",COUNTA(D105:J105))</f>
        <v/>
      </c>
      <c r="L105" s="49" t="str">
        <f aca="false">IF($B105="","",IF(OR($C105=$C$4,AND($C105="TOUS",COUNTIFS($B$46:$B$125,$B105,$C$46:$C$125,$C$4)=0)),"APPLIQUE",""))</f>
        <v/>
      </c>
    </row>
    <row r="106" customFormat="false" ht="15" hidden="false" customHeight="false" outlineLevel="0" collapsed="false">
      <c r="B106" s="45"/>
      <c r="C106" s="46"/>
      <c r="D106" s="47"/>
      <c r="E106" s="47"/>
      <c r="F106" s="47"/>
      <c r="G106" s="47"/>
      <c r="H106" s="47"/>
      <c r="I106" s="47"/>
      <c r="J106" s="47"/>
      <c r="K106" s="48" t="str">
        <f aca="false">IF($B106="","",COUNTA(D106:J106))</f>
        <v/>
      </c>
      <c r="L106" s="49" t="str">
        <f aca="false">IF($B106="","",IF(OR($C106=$C$4,AND($C106="TOUS",COUNTIFS($B$46:$B$125,$B106,$C$46:$C$125,$C$4)=0)),"APPLIQUE",""))</f>
        <v/>
      </c>
    </row>
    <row r="107" customFormat="false" ht="15" hidden="false" customHeight="false" outlineLevel="0" collapsed="false">
      <c r="B107" s="45"/>
      <c r="C107" s="46"/>
      <c r="D107" s="47"/>
      <c r="E107" s="47"/>
      <c r="F107" s="47"/>
      <c r="G107" s="47"/>
      <c r="H107" s="47"/>
      <c r="I107" s="47"/>
      <c r="J107" s="47"/>
      <c r="K107" s="48" t="str">
        <f aca="false">IF($B107="","",COUNTA(D107:J107))</f>
        <v/>
      </c>
      <c r="L107" s="49" t="str">
        <f aca="false">IF($B107="","",IF(OR($C107=$C$4,AND($C107="TOUS",COUNTIFS($B$46:$B$125,$B107,$C$46:$C$125,$C$4)=0)),"APPLIQUE",""))</f>
        <v/>
      </c>
    </row>
    <row r="108" customFormat="false" ht="15" hidden="false" customHeight="false" outlineLevel="0" collapsed="false">
      <c r="B108" s="45"/>
      <c r="C108" s="46"/>
      <c r="D108" s="47"/>
      <c r="E108" s="47"/>
      <c r="F108" s="47"/>
      <c r="G108" s="47"/>
      <c r="H108" s="47"/>
      <c r="I108" s="47"/>
      <c r="J108" s="47"/>
      <c r="K108" s="48" t="str">
        <f aca="false">IF($B108="","",COUNTA(D108:J108))</f>
        <v/>
      </c>
      <c r="L108" s="49" t="str">
        <f aca="false">IF($B108="","",IF(OR($C108=$C$4,AND($C108="TOUS",COUNTIFS($B$46:$B$125,$B108,$C$46:$C$125,$C$4)=0)),"APPLIQUE",""))</f>
        <v/>
      </c>
    </row>
    <row r="109" customFormat="false" ht="15" hidden="false" customHeight="false" outlineLevel="0" collapsed="false">
      <c r="B109" s="45"/>
      <c r="C109" s="46"/>
      <c r="D109" s="47"/>
      <c r="E109" s="47"/>
      <c r="F109" s="47"/>
      <c r="G109" s="47"/>
      <c r="H109" s="47"/>
      <c r="I109" s="47"/>
      <c r="J109" s="47"/>
      <c r="K109" s="48" t="str">
        <f aca="false">IF($B109="","",COUNTA(D109:J109))</f>
        <v/>
      </c>
      <c r="L109" s="49" t="str">
        <f aca="false">IF($B109="","",IF(OR($C109=$C$4,AND($C109="TOUS",COUNTIFS($B$46:$B$125,$B109,$C$46:$C$125,$C$4)=0)),"APPLIQUE",""))</f>
        <v/>
      </c>
    </row>
    <row r="110" customFormat="false" ht="15" hidden="false" customHeight="false" outlineLevel="0" collapsed="false">
      <c r="B110" s="45"/>
      <c r="C110" s="46"/>
      <c r="D110" s="47"/>
      <c r="E110" s="47"/>
      <c r="F110" s="47"/>
      <c r="G110" s="47"/>
      <c r="H110" s="47"/>
      <c r="I110" s="47"/>
      <c r="J110" s="47"/>
      <c r="K110" s="48" t="str">
        <f aca="false">IF($B110="","",COUNTA(D110:J110))</f>
        <v/>
      </c>
      <c r="L110" s="49" t="str">
        <f aca="false">IF($B110="","",IF(OR($C110=$C$4,AND($C110="TOUS",COUNTIFS($B$46:$B$125,$B110,$C$46:$C$125,$C$4)=0)),"APPLIQUE",""))</f>
        <v/>
      </c>
    </row>
    <row r="111" customFormat="false" ht="15" hidden="false" customHeight="false" outlineLevel="0" collapsed="false">
      <c r="B111" s="45"/>
      <c r="C111" s="46"/>
      <c r="D111" s="47"/>
      <c r="E111" s="47"/>
      <c r="F111" s="47"/>
      <c r="G111" s="47"/>
      <c r="H111" s="47"/>
      <c r="I111" s="47"/>
      <c r="J111" s="47"/>
      <c r="K111" s="48" t="str">
        <f aca="false">IF($B111="","",COUNTA(D111:J111))</f>
        <v/>
      </c>
      <c r="L111" s="49" t="str">
        <f aca="false">IF($B111="","",IF(OR($C111=$C$4,AND($C111="TOUS",COUNTIFS($B$46:$B$125,$B111,$C$46:$C$125,$C$4)=0)),"APPLIQUE",""))</f>
        <v/>
      </c>
    </row>
    <row r="112" customFormat="false" ht="15" hidden="false" customHeight="false" outlineLevel="0" collapsed="false">
      <c r="B112" s="45"/>
      <c r="C112" s="46"/>
      <c r="D112" s="47"/>
      <c r="E112" s="47"/>
      <c r="F112" s="47"/>
      <c r="G112" s="47"/>
      <c r="H112" s="47"/>
      <c r="I112" s="47"/>
      <c r="J112" s="47"/>
      <c r="K112" s="48" t="str">
        <f aca="false">IF($B112="","",COUNTA(D112:J112))</f>
        <v/>
      </c>
      <c r="L112" s="49" t="str">
        <f aca="false">IF($B112="","",IF(OR($C112=$C$4,AND($C112="TOUS",COUNTIFS($B$46:$B$125,$B112,$C$46:$C$125,$C$4)=0)),"APPLIQUE",""))</f>
        <v/>
      </c>
    </row>
    <row r="113" customFormat="false" ht="15" hidden="false" customHeight="false" outlineLevel="0" collapsed="false">
      <c r="B113" s="45"/>
      <c r="C113" s="46"/>
      <c r="D113" s="47"/>
      <c r="E113" s="47"/>
      <c r="F113" s="47"/>
      <c r="G113" s="47"/>
      <c r="H113" s="47"/>
      <c r="I113" s="47"/>
      <c r="J113" s="47"/>
      <c r="K113" s="48" t="str">
        <f aca="false">IF($B113="","",COUNTA(D113:J113))</f>
        <v/>
      </c>
      <c r="L113" s="49" t="str">
        <f aca="false">IF($B113="","",IF(OR($C113=$C$4,AND($C113="TOUS",COUNTIFS($B$46:$B$125,$B113,$C$46:$C$125,$C$4)=0)),"APPLIQUE",""))</f>
        <v/>
      </c>
    </row>
    <row r="114" customFormat="false" ht="15" hidden="false" customHeight="false" outlineLevel="0" collapsed="false">
      <c r="B114" s="45"/>
      <c r="C114" s="46"/>
      <c r="D114" s="47"/>
      <c r="E114" s="47"/>
      <c r="F114" s="47"/>
      <c r="G114" s="47"/>
      <c r="H114" s="47"/>
      <c r="I114" s="47"/>
      <c r="J114" s="47"/>
      <c r="K114" s="48" t="str">
        <f aca="false">IF($B114="","",COUNTA(D114:J114))</f>
        <v/>
      </c>
      <c r="L114" s="49" t="str">
        <f aca="false">IF($B114="","",IF(OR($C114=$C$4,AND($C114="TOUS",COUNTIFS($B$46:$B$125,$B114,$C$46:$C$125,$C$4)=0)),"APPLIQUE",""))</f>
        <v/>
      </c>
    </row>
    <row r="115" customFormat="false" ht="15" hidden="false" customHeight="false" outlineLevel="0" collapsed="false">
      <c r="B115" s="45"/>
      <c r="C115" s="46"/>
      <c r="D115" s="47"/>
      <c r="E115" s="47"/>
      <c r="F115" s="47"/>
      <c r="G115" s="47"/>
      <c r="H115" s="47"/>
      <c r="I115" s="47"/>
      <c r="J115" s="47"/>
      <c r="K115" s="48" t="str">
        <f aca="false">IF($B115="","",COUNTA(D115:J115))</f>
        <v/>
      </c>
      <c r="L115" s="49" t="str">
        <f aca="false">IF($B115="","",IF(OR($C115=$C$4,AND($C115="TOUS",COUNTIFS($B$46:$B$125,$B115,$C$46:$C$125,$C$4)=0)),"APPLIQUE",""))</f>
        <v/>
      </c>
    </row>
    <row r="116" customFormat="false" ht="15" hidden="false" customHeight="false" outlineLevel="0" collapsed="false">
      <c r="B116" s="45"/>
      <c r="C116" s="46"/>
      <c r="D116" s="47"/>
      <c r="E116" s="47"/>
      <c r="F116" s="47"/>
      <c r="G116" s="47"/>
      <c r="H116" s="47"/>
      <c r="I116" s="47"/>
      <c r="J116" s="47"/>
      <c r="K116" s="48" t="str">
        <f aca="false">IF($B116="","",COUNTA(D116:J116))</f>
        <v/>
      </c>
      <c r="L116" s="49" t="str">
        <f aca="false">IF($B116="","",IF(OR($C116=$C$4,AND($C116="TOUS",COUNTIFS($B$46:$B$125,$B116,$C$46:$C$125,$C$4)=0)),"APPLIQUE",""))</f>
        <v/>
      </c>
    </row>
    <row r="117" customFormat="false" ht="15" hidden="false" customHeight="false" outlineLevel="0" collapsed="false">
      <c r="B117" s="45"/>
      <c r="C117" s="46"/>
      <c r="D117" s="47"/>
      <c r="E117" s="47"/>
      <c r="F117" s="47"/>
      <c r="G117" s="47"/>
      <c r="H117" s="47"/>
      <c r="I117" s="47"/>
      <c r="J117" s="47"/>
      <c r="K117" s="48" t="str">
        <f aca="false">IF($B117="","",COUNTA(D117:J117))</f>
        <v/>
      </c>
      <c r="L117" s="49" t="str">
        <f aca="false">IF($B117="","",IF(OR($C117=$C$4,AND($C117="TOUS",COUNTIFS($B$46:$B$125,$B117,$C$46:$C$125,$C$4)=0)),"APPLIQUE",""))</f>
        <v/>
      </c>
    </row>
    <row r="118" customFormat="false" ht="15" hidden="false" customHeight="false" outlineLevel="0" collapsed="false">
      <c r="B118" s="45"/>
      <c r="C118" s="46"/>
      <c r="D118" s="47"/>
      <c r="E118" s="47"/>
      <c r="F118" s="47"/>
      <c r="G118" s="47"/>
      <c r="H118" s="47"/>
      <c r="I118" s="47"/>
      <c r="J118" s="47"/>
      <c r="K118" s="48" t="str">
        <f aca="false">IF($B118="","",COUNTA(D118:J118))</f>
        <v/>
      </c>
      <c r="L118" s="49" t="str">
        <f aca="false">IF($B118="","",IF(OR($C118=$C$4,AND($C118="TOUS",COUNTIFS($B$46:$B$125,$B118,$C$46:$C$125,$C$4)=0)),"APPLIQUE",""))</f>
        <v/>
      </c>
    </row>
    <row r="119" customFormat="false" ht="15" hidden="false" customHeight="false" outlineLevel="0" collapsed="false">
      <c r="B119" s="45"/>
      <c r="C119" s="46"/>
      <c r="D119" s="47"/>
      <c r="E119" s="47"/>
      <c r="F119" s="47"/>
      <c r="G119" s="47"/>
      <c r="H119" s="47"/>
      <c r="I119" s="47"/>
      <c r="J119" s="47"/>
      <c r="K119" s="48" t="str">
        <f aca="false">IF($B119="","",COUNTA(D119:J119))</f>
        <v/>
      </c>
      <c r="L119" s="49" t="str">
        <f aca="false">IF($B119="","",IF(OR($C119=$C$4,AND($C119="TOUS",COUNTIFS($B$46:$B$125,$B119,$C$46:$C$125,$C$4)=0)),"APPLIQUE",""))</f>
        <v/>
      </c>
    </row>
    <row r="120" customFormat="false" ht="15" hidden="false" customHeight="false" outlineLevel="0" collapsed="false">
      <c r="B120" s="45"/>
      <c r="C120" s="46"/>
      <c r="D120" s="47"/>
      <c r="E120" s="47"/>
      <c r="F120" s="47"/>
      <c r="G120" s="47"/>
      <c r="H120" s="47"/>
      <c r="I120" s="47"/>
      <c r="J120" s="47"/>
      <c r="K120" s="48" t="str">
        <f aca="false">IF($B120="","",COUNTA(D120:J120))</f>
        <v/>
      </c>
      <c r="L120" s="49" t="str">
        <f aca="false">IF($B120="","",IF(OR($C120=$C$4,AND($C120="TOUS",COUNTIFS($B$46:$B$125,$B120,$C$46:$C$125,$C$4)=0)),"APPLIQUE",""))</f>
        <v/>
      </c>
    </row>
    <row r="121" customFormat="false" ht="15" hidden="false" customHeight="false" outlineLevel="0" collapsed="false">
      <c r="B121" s="45"/>
      <c r="C121" s="46"/>
      <c r="D121" s="47"/>
      <c r="E121" s="47"/>
      <c r="F121" s="47"/>
      <c r="G121" s="47"/>
      <c r="H121" s="47"/>
      <c r="I121" s="47"/>
      <c r="J121" s="47"/>
      <c r="K121" s="48" t="str">
        <f aca="false">IF($B121="","",COUNTA(D121:J121))</f>
        <v/>
      </c>
      <c r="L121" s="49" t="str">
        <f aca="false">IF($B121="","",IF(OR($C121=$C$4,AND($C121="TOUS",COUNTIFS($B$46:$B$125,$B121,$C$46:$C$125,$C$4)=0)),"APPLIQUE",""))</f>
        <v/>
      </c>
    </row>
    <row r="122" customFormat="false" ht="15" hidden="false" customHeight="false" outlineLevel="0" collapsed="false">
      <c r="B122" s="45"/>
      <c r="C122" s="46"/>
      <c r="D122" s="47"/>
      <c r="E122" s="47"/>
      <c r="F122" s="47"/>
      <c r="G122" s="47"/>
      <c r="H122" s="47"/>
      <c r="I122" s="47"/>
      <c r="J122" s="47"/>
      <c r="K122" s="48" t="str">
        <f aca="false">IF($B122="","",COUNTA(D122:J122))</f>
        <v/>
      </c>
      <c r="L122" s="49" t="str">
        <f aca="false">IF($B122="","",IF(OR($C122=$C$4,AND($C122="TOUS",COUNTIFS($B$46:$B$125,$B122,$C$46:$C$125,$C$4)=0)),"APPLIQUE",""))</f>
        <v/>
      </c>
    </row>
    <row r="123" customFormat="false" ht="15" hidden="false" customHeight="false" outlineLevel="0" collapsed="false">
      <c r="B123" s="45"/>
      <c r="C123" s="46"/>
      <c r="D123" s="47"/>
      <c r="E123" s="47"/>
      <c r="F123" s="47"/>
      <c r="G123" s="47"/>
      <c r="H123" s="47"/>
      <c r="I123" s="47"/>
      <c r="J123" s="47"/>
      <c r="K123" s="48" t="str">
        <f aca="false">IF($B123="","",COUNTA(D123:J123))</f>
        <v/>
      </c>
      <c r="L123" s="49" t="str">
        <f aca="false">IF($B123="","",IF(OR($C123=$C$4,AND($C123="TOUS",COUNTIFS($B$46:$B$125,$B123,$C$46:$C$125,$C$4)=0)),"APPLIQUE",""))</f>
        <v/>
      </c>
    </row>
    <row r="124" customFormat="false" ht="15" hidden="false" customHeight="false" outlineLevel="0" collapsed="false">
      <c r="B124" s="45"/>
      <c r="C124" s="46"/>
      <c r="D124" s="47"/>
      <c r="E124" s="47"/>
      <c r="F124" s="47"/>
      <c r="G124" s="47"/>
      <c r="H124" s="47"/>
      <c r="I124" s="47"/>
      <c r="J124" s="47"/>
      <c r="K124" s="48" t="str">
        <f aca="false">IF($B124="","",COUNTA(D124:J124))</f>
        <v/>
      </c>
      <c r="L124" s="49" t="str">
        <f aca="false">IF($B124="","",IF(OR($C124=$C$4,AND($C124="TOUS",COUNTIFS($B$46:$B$125,$B124,$C$46:$C$125,$C$4)=0)),"APPLIQUE",""))</f>
        <v/>
      </c>
    </row>
    <row r="125" customFormat="false" ht="15" hidden="false" customHeight="false" outlineLevel="0" collapsed="false">
      <c r="B125" s="45"/>
      <c r="C125" s="46"/>
      <c r="D125" s="47"/>
      <c r="E125" s="47"/>
      <c r="F125" s="47"/>
      <c r="G125" s="47"/>
      <c r="H125" s="47"/>
      <c r="I125" s="47"/>
      <c r="J125" s="47"/>
      <c r="K125" s="48" t="str">
        <f aca="false">IF($B125="","",COUNTA(D125:J125))</f>
        <v/>
      </c>
      <c r="L125" s="49" t="str">
        <f aca="false">IF($B125="","",IF(OR($C125=$C$4,AND($C125="TOUS",COUNTIFS($B$46:$B$125,$B125,$C$46:$C$125,$C$4)=0)),"APPLIQUE",""))</f>
        <v/>
      </c>
    </row>
    <row r="128" customFormat="false" ht="15" hidden="false" customHeight="false" outlineLevel="0" collapsed="false">
      <c r="B128" s="42" t="s">
        <v>101</v>
      </c>
      <c r="C128" s="42"/>
      <c r="D128" s="42"/>
      <c r="E128" s="42"/>
      <c r="F128" s="42"/>
      <c r="G128" s="42"/>
      <c r="H128" s="42"/>
      <c r="I128" s="42"/>
      <c r="J128" s="42"/>
      <c r="K128" s="42"/>
      <c r="L128" s="42"/>
    </row>
    <row r="129" customFormat="false" ht="25.5" hidden="false" customHeight="true" outlineLevel="0" collapsed="false">
      <c r="B129" s="43" t="s">
        <v>102</v>
      </c>
      <c r="C129" s="43"/>
      <c r="D129" s="43"/>
      <c r="E129" s="43"/>
      <c r="F129" s="43"/>
      <c r="G129" s="43"/>
      <c r="H129" s="43"/>
      <c r="I129" s="43"/>
      <c r="J129" s="43"/>
      <c r="K129" s="43"/>
      <c r="L129" s="43"/>
    </row>
    <row r="130" customFormat="false" ht="15" hidden="false" customHeight="false" outlineLevel="0" collapsed="false">
      <c r="B130" s="43"/>
      <c r="C130" s="43"/>
      <c r="D130" s="43"/>
      <c r="E130" s="43"/>
      <c r="F130" s="43"/>
      <c r="G130" s="43"/>
      <c r="H130" s="43"/>
      <c r="I130" s="43"/>
      <c r="J130" s="43"/>
      <c r="K130" s="43"/>
      <c r="L130" s="43"/>
    </row>
    <row r="132" customFormat="false" ht="15" hidden="false" customHeight="false" outlineLevel="0" collapsed="false">
      <c r="B132" s="44" t="s">
        <v>103</v>
      </c>
      <c r="C132" s="44" t="s">
        <v>80</v>
      </c>
      <c r="D132" s="44" t="s">
        <v>104</v>
      </c>
      <c r="E132" s="44" t="s">
        <v>105</v>
      </c>
      <c r="F132" s="44" t="s">
        <v>106</v>
      </c>
      <c r="H132" s="50" t="s">
        <v>107</v>
      </c>
    </row>
    <row r="133" customFormat="false" ht="15" hidden="false" customHeight="false" outlineLevel="0" collapsed="false">
      <c r="B133" s="51" t="n">
        <v>46484</v>
      </c>
      <c r="C133" s="47" t="s">
        <v>16</v>
      </c>
      <c r="D133" s="47" t="s">
        <v>25</v>
      </c>
      <c r="E133" s="52" t="n">
        <v>1</v>
      </c>
      <c r="F133" s="53" t="s">
        <v>108</v>
      </c>
      <c r="H133" s="54" t="str">
        <f aca="false">IF(OR($B133="",$C133=""),"",$B133&amp;"|"&amp;$C133)</f>
        <v>46484|NOSRUN</v>
      </c>
    </row>
    <row r="134" customFormat="false" ht="15" hidden="false" customHeight="false" outlineLevel="0" collapsed="false">
      <c r="B134" s="51" t="n">
        <v>46487</v>
      </c>
      <c r="C134" s="47" t="s">
        <v>16</v>
      </c>
      <c r="D134" s="47" t="s">
        <v>25</v>
      </c>
      <c r="E134" s="52" t="n">
        <v>1</v>
      </c>
      <c r="F134" s="53" t="s">
        <v>109</v>
      </c>
      <c r="H134" s="54" t="str">
        <f aca="false">IF(OR($B134="",$C134=""),"",$B134&amp;"|"&amp;$C134)</f>
        <v>46487|NOSRUN</v>
      </c>
    </row>
    <row r="135" customFormat="false" ht="15" hidden="false" customHeight="false" outlineLevel="0" collapsed="false">
      <c r="B135" s="51" t="n">
        <v>46497</v>
      </c>
      <c r="C135" s="47" t="s">
        <v>13</v>
      </c>
      <c r="D135" s="47" t="s">
        <v>20</v>
      </c>
      <c r="E135" s="52" t="n">
        <v>2</v>
      </c>
      <c r="F135" s="53" t="s">
        <v>110</v>
      </c>
      <c r="H135" s="54" t="str">
        <f aca="false">IF(OR($B135="",$C135=""),"",$B135&amp;"|"&amp;$C135)</f>
        <v>46497|CDGRUN</v>
      </c>
    </row>
    <row r="136" customFormat="false" ht="15" hidden="false" customHeight="false" outlineLevel="0" collapsed="false">
      <c r="B136" s="51"/>
      <c r="C136" s="47"/>
      <c r="D136" s="47"/>
      <c r="E136" s="52"/>
      <c r="F136" s="53"/>
      <c r="H136" s="54" t="str">
        <f aca="false">IF(OR($B136="",$C136=""),"",$B136&amp;"|"&amp;$C136)</f>
        <v/>
      </c>
    </row>
    <row r="137" customFormat="false" ht="15" hidden="false" customHeight="false" outlineLevel="0" collapsed="false">
      <c r="B137" s="51"/>
      <c r="C137" s="47"/>
      <c r="D137" s="47"/>
      <c r="E137" s="52"/>
      <c r="F137" s="53"/>
      <c r="H137" s="54" t="str">
        <f aca="false">IF(OR($B137="",$C137=""),"",$B137&amp;"|"&amp;$C137)</f>
        <v/>
      </c>
    </row>
    <row r="138" customFormat="false" ht="15" hidden="false" customHeight="false" outlineLevel="0" collapsed="false">
      <c r="B138" s="51"/>
      <c r="C138" s="47"/>
      <c r="D138" s="47"/>
      <c r="E138" s="52"/>
      <c r="F138" s="53"/>
      <c r="H138" s="54" t="str">
        <f aca="false">IF(OR($B138="",$C138=""),"",$B138&amp;"|"&amp;$C138)</f>
        <v/>
      </c>
    </row>
    <row r="139" customFormat="false" ht="15" hidden="false" customHeight="false" outlineLevel="0" collapsed="false">
      <c r="B139" s="51"/>
      <c r="C139" s="47"/>
      <c r="D139" s="47"/>
      <c r="E139" s="52"/>
      <c r="F139" s="53"/>
      <c r="H139" s="54" t="str">
        <f aca="false">IF(OR($B139="",$C139=""),"",$B139&amp;"|"&amp;$C139)</f>
        <v/>
      </c>
    </row>
    <row r="140" customFormat="false" ht="15" hidden="false" customHeight="false" outlineLevel="0" collapsed="false">
      <c r="B140" s="51"/>
      <c r="C140" s="47"/>
      <c r="D140" s="47"/>
      <c r="E140" s="52"/>
      <c r="F140" s="53"/>
      <c r="H140" s="54" t="str">
        <f aca="false">IF(OR($B140="",$C140=""),"",$B140&amp;"|"&amp;$C140)</f>
        <v/>
      </c>
    </row>
    <row r="141" customFormat="false" ht="15" hidden="false" customHeight="false" outlineLevel="0" collapsed="false">
      <c r="B141" s="51"/>
      <c r="C141" s="47"/>
      <c r="D141" s="47"/>
      <c r="E141" s="52"/>
      <c r="F141" s="53"/>
      <c r="H141" s="54" t="str">
        <f aca="false">IF(OR($B141="",$C141=""),"",$B141&amp;"|"&amp;$C141)</f>
        <v/>
      </c>
    </row>
    <row r="142" customFormat="false" ht="15" hidden="false" customHeight="false" outlineLevel="0" collapsed="false">
      <c r="B142" s="51"/>
      <c r="C142" s="47"/>
      <c r="D142" s="47"/>
      <c r="E142" s="52"/>
      <c r="F142" s="53"/>
      <c r="H142" s="54" t="str">
        <f aca="false">IF(OR($B142="",$C142=""),"",$B142&amp;"|"&amp;$C142)</f>
        <v/>
      </c>
    </row>
    <row r="143" customFormat="false" ht="15" hidden="false" customHeight="false" outlineLevel="0" collapsed="false">
      <c r="B143" s="51"/>
      <c r="C143" s="47"/>
      <c r="D143" s="47"/>
      <c r="E143" s="52"/>
      <c r="F143" s="53"/>
      <c r="H143" s="54" t="str">
        <f aca="false">IF(OR($B143="",$C143=""),"",$B143&amp;"|"&amp;$C143)</f>
        <v/>
      </c>
    </row>
    <row r="144" customFormat="false" ht="15" hidden="false" customHeight="false" outlineLevel="0" collapsed="false">
      <c r="B144" s="51"/>
      <c r="C144" s="47"/>
      <c r="D144" s="47"/>
      <c r="E144" s="52"/>
      <c r="F144" s="53"/>
      <c r="H144" s="54" t="str">
        <f aca="false">IF(OR($B144="",$C144=""),"",$B144&amp;"|"&amp;$C144)</f>
        <v/>
      </c>
    </row>
    <row r="145" customFormat="false" ht="15" hidden="false" customHeight="false" outlineLevel="0" collapsed="false">
      <c r="B145" s="51"/>
      <c r="C145" s="47"/>
      <c r="D145" s="47"/>
      <c r="E145" s="52"/>
      <c r="F145" s="53"/>
      <c r="H145" s="54" t="str">
        <f aca="false">IF(OR($B145="",$C145=""),"",$B145&amp;"|"&amp;$C145)</f>
        <v/>
      </c>
    </row>
    <row r="146" customFormat="false" ht="15" hidden="false" customHeight="false" outlineLevel="0" collapsed="false">
      <c r="B146" s="51"/>
      <c r="C146" s="47"/>
      <c r="D146" s="47"/>
      <c r="E146" s="52"/>
      <c r="F146" s="53"/>
      <c r="H146" s="54" t="str">
        <f aca="false">IF(OR($B146="",$C146=""),"",$B146&amp;"|"&amp;$C146)</f>
        <v/>
      </c>
    </row>
    <row r="147" customFormat="false" ht="15" hidden="false" customHeight="false" outlineLevel="0" collapsed="false">
      <c r="B147" s="51"/>
      <c r="C147" s="47"/>
      <c r="D147" s="47"/>
      <c r="E147" s="52"/>
      <c r="F147" s="53"/>
      <c r="H147" s="54" t="str">
        <f aca="false">IF(OR($B147="",$C147=""),"",$B147&amp;"|"&amp;$C147)</f>
        <v/>
      </c>
    </row>
    <row r="148" customFormat="false" ht="15" hidden="false" customHeight="false" outlineLevel="0" collapsed="false">
      <c r="B148" s="51"/>
      <c r="C148" s="47"/>
      <c r="D148" s="47"/>
      <c r="E148" s="52"/>
      <c r="F148" s="53"/>
      <c r="H148" s="54" t="str">
        <f aca="false">IF(OR($B148="",$C148=""),"",$B148&amp;"|"&amp;$C148)</f>
        <v/>
      </c>
    </row>
    <row r="149" customFormat="false" ht="15" hidden="false" customHeight="false" outlineLevel="0" collapsed="false">
      <c r="B149" s="51"/>
      <c r="C149" s="47"/>
      <c r="D149" s="47"/>
      <c r="E149" s="52"/>
      <c r="F149" s="53"/>
      <c r="H149" s="54" t="str">
        <f aca="false">IF(OR($B149="",$C149=""),"",$B149&amp;"|"&amp;$C149)</f>
        <v/>
      </c>
    </row>
    <row r="150" customFormat="false" ht="15" hidden="false" customHeight="false" outlineLevel="0" collapsed="false">
      <c r="B150" s="51"/>
      <c r="C150" s="47"/>
      <c r="D150" s="47"/>
      <c r="E150" s="52"/>
      <c r="F150" s="53"/>
      <c r="H150" s="54" t="str">
        <f aca="false">IF(OR($B150="",$C150=""),"",$B150&amp;"|"&amp;$C150)</f>
        <v/>
      </c>
    </row>
    <row r="151" customFormat="false" ht="15" hidden="false" customHeight="false" outlineLevel="0" collapsed="false">
      <c r="B151" s="51"/>
      <c r="C151" s="47"/>
      <c r="D151" s="47"/>
      <c r="E151" s="52"/>
      <c r="F151" s="53"/>
      <c r="H151" s="54" t="str">
        <f aca="false">IF(OR($B151="",$C151=""),"",$B151&amp;"|"&amp;$C151)</f>
        <v/>
      </c>
    </row>
    <row r="152" customFormat="false" ht="15" hidden="false" customHeight="false" outlineLevel="0" collapsed="false">
      <c r="B152" s="51"/>
      <c r="C152" s="47"/>
      <c r="D152" s="47"/>
      <c r="E152" s="52"/>
      <c r="F152" s="53"/>
      <c r="H152" s="54" t="str">
        <f aca="false">IF(OR($B152="",$C152=""),"",$B152&amp;"|"&amp;$C152)</f>
        <v/>
      </c>
    </row>
    <row r="153" customFormat="false" ht="15" hidden="false" customHeight="false" outlineLevel="0" collapsed="false">
      <c r="B153" s="51"/>
      <c r="C153" s="47"/>
      <c r="D153" s="47"/>
      <c r="E153" s="52"/>
      <c r="F153" s="53"/>
      <c r="H153" s="54" t="str">
        <f aca="false">IF(OR($B153="",$C153=""),"",$B153&amp;"|"&amp;$C153)</f>
        <v/>
      </c>
    </row>
    <row r="154" customFormat="false" ht="15" hidden="false" customHeight="false" outlineLevel="0" collapsed="false">
      <c r="B154" s="51"/>
      <c r="C154" s="47"/>
      <c r="D154" s="47"/>
      <c r="E154" s="52"/>
      <c r="F154" s="53"/>
      <c r="H154" s="54" t="str">
        <f aca="false">IF(OR($B154="",$C154=""),"",$B154&amp;"|"&amp;$C154)</f>
        <v/>
      </c>
    </row>
    <row r="155" customFormat="false" ht="15" hidden="false" customHeight="false" outlineLevel="0" collapsed="false">
      <c r="B155" s="51"/>
      <c r="C155" s="47"/>
      <c r="D155" s="47"/>
      <c r="E155" s="52"/>
      <c r="F155" s="53"/>
      <c r="H155" s="54" t="str">
        <f aca="false">IF(OR($B155="",$C155=""),"",$B155&amp;"|"&amp;$C155)</f>
        <v/>
      </c>
    </row>
    <row r="156" customFormat="false" ht="15" hidden="false" customHeight="false" outlineLevel="0" collapsed="false">
      <c r="B156" s="51"/>
      <c r="C156" s="47"/>
      <c r="D156" s="47"/>
      <c r="E156" s="52"/>
      <c r="F156" s="53"/>
      <c r="H156" s="54" t="str">
        <f aca="false">IF(OR($B156="",$C156=""),"",$B156&amp;"|"&amp;$C156)</f>
        <v/>
      </c>
    </row>
    <row r="157" customFormat="false" ht="15" hidden="false" customHeight="false" outlineLevel="0" collapsed="false">
      <c r="B157" s="51"/>
      <c r="C157" s="47"/>
      <c r="D157" s="47"/>
      <c r="E157" s="52"/>
      <c r="F157" s="53"/>
      <c r="H157" s="54" t="str">
        <f aca="false">IF(OR($B157="",$C157=""),"",$B157&amp;"|"&amp;$C157)</f>
        <v/>
      </c>
    </row>
    <row r="158" customFormat="false" ht="15" hidden="false" customHeight="false" outlineLevel="0" collapsed="false">
      <c r="B158" s="51"/>
      <c r="C158" s="47"/>
      <c r="D158" s="47"/>
      <c r="E158" s="52"/>
      <c r="F158" s="53"/>
      <c r="H158" s="54" t="str">
        <f aca="false">IF(OR($B158="",$C158=""),"",$B158&amp;"|"&amp;$C158)</f>
        <v/>
      </c>
    </row>
    <row r="159" customFormat="false" ht="15" hidden="false" customHeight="false" outlineLevel="0" collapsed="false">
      <c r="B159" s="51"/>
      <c r="C159" s="47"/>
      <c r="D159" s="47"/>
      <c r="E159" s="52"/>
      <c r="F159" s="53"/>
      <c r="H159" s="54" t="str">
        <f aca="false">IF(OR($B159="",$C159=""),"",$B159&amp;"|"&amp;$C159)</f>
        <v/>
      </c>
    </row>
    <row r="160" customFormat="false" ht="15" hidden="false" customHeight="false" outlineLevel="0" collapsed="false">
      <c r="B160" s="51"/>
      <c r="C160" s="47"/>
      <c r="D160" s="47"/>
      <c r="E160" s="52"/>
      <c r="F160" s="53"/>
      <c r="H160" s="54" t="str">
        <f aca="false">IF(OR($B160="",$C160=""),"",$B160&amp;"|"&amp;$C160)</f>
        <v/>
      </c>
    </row>
    <row r="161" customFormat="false" ht="15" hidden="false" customHeight="false" outlineLevel="0" collapsed="false">
      <c r="B161" s="51"/>
      <c r="C161" s="47"/>
      <c r="D161" s="47"/>
      <c r="E161" s="52"/>
      <c r="F161" s="53"/>
      <c r="H161" s="54" t="str">
        <f aca="false">IF(OR($B161="",$C161=""),"",$B161&amp;"|"&amp;$C161)</f>
        <v/>
      </c>
    </row>
    <row r="162" customFormat="false" ht="15" hidden="false" customHeight="false" outlineLevel="0" collapsed="false">
      <c r="B162" s="51"/>
      <c r="C162" s="47"/>
      <c r="D162" s="47"/>
      <c r="E162" s="52"/>
      <c r="F162" s="53"/>
      <c r="H162" s="54" t="str">
        <f aca="false">IF(OR($B162="",$C162=""),"",$B162&amp;"|"&amp;$C162)</f>
        <v/>
      </c>
    </row>
    <row r="163" customFormat="false" ht="15" hidden="false" customHeight="false" outlineLevel="0" collapsed="false">
      <c r="B163" s="51"/>
      <c r="C163" s="47"/>
      <c r="D163" s="47"/>
      <c r="E163" s="52"/>
      <c r="F163" s="53"/>
      <c r="H163" s="54" t="str">
        <f aca="false">IF(OR($B163="",$C163=""),"",$B163&amp;"|"&amp;$C163)</f>
        <v/>
      </c>
    </row>
    <row r="164" customFormat="false" ht="15" hidden="false" customHeight="false" outlineLevel="0" collapsed="false">
      <c r="B164" s="51"/>
      <c r="C164" s="47"/>
      <c r="D164" s="47"/>
      <c r="E164" s="52"/>
      <c r="F164" s="53"/>
      <c r="H164" s="54" t="str">
        <f aca="false">IF(OR($B164="",$C164=""),"",$B164&amp;"|"&amp;$C164)</f>
        <v/>
      </c>
    </row>
    <row r="165" customFormat="false" ht="15" hidden="false" customHeight="false" outlineLevel="0" collapsed="false">
      <c r="B165" s="51"/>
      <c r="C165" s="47"/>
      <c r="D165" s="47"/>
      <c r="E165" s="52"/>
      <c r="F165" s="53"/>
      <c r="H165" s="54" t="str">
        <f aca="false">IF(OR($B165="",$C165=""),"",$B165&amp;"|"&amp;$C165)</f>
        <v/>
      </c>
    </row>
    <row r="166" customFormat="false" ht="15" hidden="false" customHeight="false" outlineLevel="0" collapsed="false">
      <c r="B166" s="51"/>
      <c r="C166" s="47"/>
      <c r="D166" s="47"/>
      <c r="E166" s="52"/>
      <c r="F166" s="53"/>
      <c r="H166" s="54" t="str">
        <f aca="false">IF(OR($B166="",$C166=""),"",$B166&amp;"|"&amp;$C166)</f>
        <v/>
      </c>
    </row>
    <row r="167" customFormat="false" ht="15" hidden="false" customHeight="false" outlineLevel="0" collapsed="false">
      <c r="B167" s="51"/>
      <c r="C167" s="47"/>
      <c r="D167" s="47"/>
      <c r="E167" s="52"/>
      <c r="F167" s="53"/>
      <c r="H167" s="54" t="str">
        <f aca="false">IF(OR($B167="",$C167=""),"",$B167&amp;"|"&amp;$C167)</f>
        <v/>
      </c>
    </row>
    <row r="168" customFormat="false" ht="15" hidden="false" customHeight="false" outlineLevel="0" collapsed="false">
      <c r="B168" s="51"/>
      <c r="C168" s="47"/>
      <c r="D168" s="47"/>
      <c r="E168" s="52"/>
      <c r="F168" s="53"/>
      <c r="H168" s="54" t="str">
        <f aca="false">IF(OR($B168="",$C168=""),"",$B168&amp;"|"&amp;$C168)</f>
        <v/>
      </c>
    </row>
    <row r="169" customFormat="false" ht="15" hidden="false" customHeight="false" outlineLevel="0" collapsed="false">
      <c r="B169" s="51"/>
      <c r="C169" s="47"/>
      <c r="D169" s="47"/>
      <c r="E169" s="52"/>
      <c r="F169" s="53"/>
      <c r="H169" s="54" t="str">
        <f aca="false">IF(OR($B169="",$C169=""),"",$B169&amp;"|"&amp;$C169)</f>
        <v/>
      </c>
    </row>
    <row r="170" customFormat="false" ht="15" hidden="false" customHeight="false" outlineLevel="0" collapsed="false">
      <c r="B170" s="51"/>
      <c r="C170" s="47"/>
      <c r="D170" s="47"/>
      <c r="E170" s="52"/>
      <c r="F170" s="53"/>
      <c r="H170" s="54" t="str">
        <f aca="false">IF(OR($B170="",$C170=""),"",$B170&amp;"|"&amp;$C170)</f>
        <v/>
      </c>
    </row>
    <row r="171" customFormat="false" ht="15" hidden="false" customHeight="false" outlineLevel="0" collapsed="false">
      <c r="B171" s="51"/>
      <c r="C171" s="47"/>
      <c r="D171" s="47"/>
      <c r="E171" s="52"/>
      <c r="F171" s="53"/>
      <c r="H171" s="54" t="str">
        <f aca="false">IF(OR($B171="",$C171=""),"",$B171&amp;"|"&amp;$C171)</f>
        <v/>
      </c>
    </row>
    <row r="172" customFormat="false" ht="15" hidden="false" customHeight="false" outlineLevel="0" collapsed="false">
      <c r="B172" s="51"/>
      <c r="C172" s="47"/>
      <c r="D172" s="47"/>
      <c r="E172" s="52"/>
      <c r="F172" s="53"/>
      <c r="H172" s="54" t="str">
        <f aca="false">IF(OR($B172="",$C172=""),"",$B172&amp;"|"&amp;$C172)</f>
        <v/>
      </c>
    </row>
  </sheetData>
  <autoFilter ref="B45:L125"/>
  <mergeCells count="18">
    <mergeCell ref="B1:I1"/>
    <mergeCell ref="B2:I2"/>
    <mergeCell ref="N3:O3"/>
    <mergeCell ref="C4:D4"/>
    <mergeCell ref="C5:D5"/>
    <mergeCell ref="B6:I6"/>
    <mergeCell ref="N12:U12"/>
    <mergeCell ref="N20:U20"/>
    <mergeCell ref="D21:I21"/>
    <mergeCell ref="N22:U22"/>
    <mergeCell ref="B23:M23"/>
    <mergeCell ref="N36:U36"/>
    <mergeCell ref="B38:M39"/>
    <mergeCell ref="B41:L41"/>
    <mergeCell ref="B42:L44"/>
    <mergeCell ref="N50:U50"/>
    <mergeCell ref="B128:L128"/>
    <mergeCell ref="B129:L130"/>
  </mergeCells>
  <conditionalFormatting sqref="C8:I8 C10:I10 C12:I12 C14:I14 C16:I16 C18:I18">
    <cfRule type="expression" priority="2" aboveAverage="0" equalAverage="0" bottom="0" percent="0" rank="0" text="" dxfId="19">
      <formula>ISNUMBER(SEARCH("(+",C8))</formula>
    </cfRule>
    <cfRule type="expression" priority="3" aboveAverage="0" equalAverage="0" bottom="0" percent="0" rank="0" text="" dxfId="20">
      <formula>AND($C$5="CDGRUN",C8&lt;&gt;"")</formula>
    </cfRule>
    <cfRule type="expression" priority="4" aboveAverage="0" equalAverage="0" bottom="0" percent="0" rank="0" text="" dxfId="21">
      <formula>AND($C$5="CDGDZA",C8&lt;&gt;"")</formula>
    </cfRule>
    <cfRule type="expression" priority="5" aboveAverage="0" equalAverage="0" bottom="0" percent="0" rank="0" text="" dxfId="22">
      <formula>AND($C$5="BKKRUN",C8&lt;&gt;"")</formula>
    </cfRule>
    <cfRule type="expression" priority="6" aboveAverage="0" equalAverage="0" bottom="0" percent="0" rank="0" text="" dxfId="23">
      <formula>AND($C$5="DZARUN",C8&lt;&gt;"")</formula>
    </cfRule>
    <cfRule type="expression" priority="7" aboveAverage="0" equalAverage="0" bottom="0" percent="0" rank="0" text="" dxfId="24">
      <formula>AND($C$5="MRURUN",C8&lt;&gt;"")</formula>
    </cfRule>
    <cfRule type="expression" priority="8" aboveAverage="0" equalAverage="0" bottom="0" percent="0" rank="0" text="" dxfId="25">
      <formula>AND($C$5="NOSRUN",C8&lt;&gt;"")</formula>
    </cfRule>
    <cfRule type="expression" priority="9" aboveAverage="0" equalAverage="0" bottom="0" percent="0" rank="0" text="" dxfId="26">
      <formula>AND($C$5="RUNTNR",C8&lt;&gt;"")</formula>
    </cfRule>
    <cfRule type="expression" priority="10" aboveAverage="0" equalAverage="0" bottom="0" percent="0" rank="0" text="" dxfId="27">
      <formula>AND($C$5="JNBRUN",C8&lt;&gt;"")</formula>
    </cfRule>
    <cfRule type="expression" priority="11" aboveAverage="0" equalAverage="0" bottom="0" percent="0" rank="0" text="" dxfId="28">
      <formula>AND($C$5="CPTRUN",C8&lt;&gt;"")</formula>
    </cfRule>
    <cfRule type="expression" priority="12" aboveAverage="0" equalAverage="0" bottom="0" percent="0" rank="0" text="" dxfId="29">
      <formula>AND($C$5="DIERUN",C8&lt;&gt;"")</formula>
    </cfRule>
    <cfRule type="expression" priority="13" aboveAverage="0" equalAverage="0" bottom="0" percent="0" rank="0" text="" dxfId="30">
      <formula>AND($C$5="RRGRUN",C8&lt;&gt;"")</formula>
    </cfRule>
    <cfRule type="expression" priority="14" aboveAverage="0" equalAverage="0" bottom="0" percent="0" rank="0" text="" dxfId="31">
      <formula>AND($C$5="TMMRUN",C8&lt;&gt;"")</formula>
    </cfRule>
  </conditionalFormatting>
  <conditionalFormatting sqref="B25:B36">
    <cfRule type="expression" priority="15" aboveAverage="0" equalAverage="0" bottom="0" percent="0" rank="0" text="" dxfId="20">
      <formula>$B25="CDGRUN"</formula>
    </cfRule>
    <cfRule type="expression" priority="16" aboveAverage="0" equalAverage="0" bottom="0" percent="0" rank="0" text="" dxfId="21">
      <formula>$B25="CDGDZA"</formula>
    </cfRule>
    <cfRule type="expression" priority="17" aboveAverage="0" equalAverage="0" bottom="0" percent="0" rank="0" text="" dxfId="22">
      <formula>$B25="BKKRUN"</formula>
    </cfRule>
    <cfRule type="expression" priority="18" aboveAverage="0" equalAverage="0" bottom="0" percent="0" rank="0" text="" dxfId="23">
      <formula>$B25="DZARUN"</formula>
    </cfRule>
    <cfRule type="expression" priority="19" aboveAverage="0" equalAverage="0" bottom="0" percent="0" rank="0" text="" dxfId="24">
      <formula>$B25="MRURUN"</formula>
    </cfRule>
    <cfRule type="expression" priority="20" aboveAverage="0" equalAverage="0" bottom="0" percent="0" rank="0" text="" dxfId="25">
      <formula>$B25="NOSRUN"</formula>
    </cfRule>
    <cfRule type="expression" priority="21" aboveAverage="0" equalAverage="0" bottom="0" percent="0" rank="0" text="" dxfId="26">
      <formula>$B25="RUNTNR"</formula>
    </cfRule>
    <cfRule type="expression" priority="22" aboveAverage="0" equalAverage="0" bottom="0" percent="0" rank="0" text="" dxfId="27">
      <formula>$B25="JNBRUN"</formula>
    </cfRule>
    <cfRule type="expression" priority="23" aboveAverage="0" equalAverage="0" bottom="0" percent="0" rank="0" text="" dxfId="28">
      <formula>$B25="CPTRUN"</formula>
    </cfRule>
    <cfRule type="expression" priority="24" aboveAverage="0" equalAverage="0" bottom="0" percent="0" rank="0" text="" dxfId="29">
      <formula>$B25="DIERUN"</formula>
    </cfRule>
    <cfRule type="expression" priority="25" aboveAverage="0" equalAverage="0" bottom="0" percent="0" rank="0" text="" dxfId="30">
      <formula>$B25="RRGRUN"</formula>
    </cfRule>
    <cfRule type="expression" priority="26" aboveAverage="0" equalAverage="0" bottom="0" percent="0" rank="0" text="" dxfId="31">
      <formula>$B25="TMMRUN"</formula>
    </cfRule>
  </conditionalFormatting>
  <conditionalFormatting sqref="B46:B125">
    <cfRule type="expression" priority="27" aboveAverage="0" equalAverage="0" bottom="0" percent="0" rank="0" text="" dxfId="20">
      <formula>$B46="CDGRUN"</formula>
    </cfRule>
    <cfRule type="expression" priority="28" aboveAverage="0" equalAverage="0" bottom="0" percent="0" rank="0" text="" dxfId="21">
      <formula>$B46="CDGDZA"</formula>
    </cfRule>
    <cfRule type="expression" priority="29" aboveAverage="0" equalAverage="0" bottom="0" percent="0" rank="0" text="" dxfId="22">
      <formula>$B46="BKKRUN"</formula>
    </cfRule>
    <cfRule type="expression" priority="30" aboveAverage="0" equalAverage="0" bottom="0" percent="0" rank="0" text="" dxfId="23">
      <formula>$B46="DZARUN"</formula>
    </cfRule>
    <cfRule type="expression" priority="31" aboveAverage="0" equalAverage="0" bottom="0" percent="0" rank="0" text="" dxfId="24">
      <formula>$B46="MRURUN"</formula>
    </cfRule>
    <cfRule type="expression" priority="32" aboveAverage="0" equalAverage="0" bottom="0" percent="0" rank="0" text="" dxfId="25">
      <formula>$B46="NOSRUN"</formula>
    </cfRule>
    <cfRule type="expression" priority="33" aboveAverage="0" equalAverage="0" bottom="0" percent="0" rank="0" text="" dxfId="26">
      <formula>$B46="RUNTNR"</formula>
    </cfRule>
    <cfRule type="expression" priority="34" aboveAverage="0" equalAverage="0" bottom="0" percent="0" rank="0" text="" dxfId="27">
      <formula>$B46="JNBRUN"</formula>
    </cfRule>
    <cfRule type="expression" priority="35" aboveAverage="0" equalAverage="0" bottom="0" percent="0" rank="0" text="" dxfId="28">
      <formula>$B46="CPTRUN"</formula>
    </cfRule>
    <cfRule type="expression" priority="36" aboveAverage="0" equalAverage="0" bottom="0" percent="0" rank="0" text="" dxfId="29">
      <formula>$B46="DIERUN"</formula>
    </cfRule>
    <cfRule type="expression" priority="37" aboveAverage="0" equalAverage="0" bottom="0" percent="0" rank="0" text="" dxfId="30">
      <formula>$B46="RRGRUN"</formula>
    </cfRule>
    <cfRule type="expression" priority="38" aboveAverage="0" equalAverage="0" bottom="0" percent="0" rank="0" text="" dxfId="31">
      <formula>$B46="TMMRUN"</formula>
    </cfRule>
  </conditionalFormatting>
  <conditionalFormatting sqref="C46:L125">
    <cfRule type="expression" priority="39" aboveAverage="0" equalAverage="0" bottom="0" percent="0" rank="0" text="" dxfId="32">
      <formula>$L46="APPLIQUE"</formula>
    </cfRule>
    <cfRule type="expression" priority="40" aboveAverage="0" equalAverage="0" bottom="0" percent="0" rank="0" text="" dxfId="33">
      <formula>AND($B46&lt;&gt;"",$L46&lt;&gt;"APPLIQUE")</formula>
    </cfRule>
  </conditionalFormatting>
  <dataValidations count="9">
    <dataValidation allowBlank="false" errorStyle="stop" operator="between" showDropDown="false" showErrorMessage="false" showInputMessage="false" sqref="C4" type="list">
      <formula1>$W$4:$W$15</formula1>
      <formula2>0</formula2>
    </dataValidation>
    <dataValidation allowBlank="false" errorStyle="stop" operator="between" showDropDown="false" showErrorMessage="false" showInputMessage="false" sqref="C5" type="list">
      <formula1>$Z$4:$Z$15</formula1>
      <formula2>0</formula2>
    </dataValidation>
    <dataValidation allowBlank="true" error="Choisir une route dans la liste." errorStyle="stop" errorTitle="Route inconnue" operator="between" showDropDown="false" showErrorMessage="false" showInputMessage="false" sqref="B46:B125" type="list">
      <formula1>$Z$4:$Z$15</formula1>
      <formula2>0</formula2>
    </dataValidation>
    <dataValidation allowBlank="true" error="Choisir un mois, ou TOUS pour le programme par defaut." errorStyle="stop" errorTitle="Mois invalide" operator="between" showDropDown="false" showErrorMessage="false" showInputMessage="false" sqref="C46:C125" type="list">
      <formula1>$AA$4:$AA$16</formula1>
      <formula2>0</formula2>
    </dataValidation>
    <dataValidation allowBlank="true" error="Choisir un type avion, ou laisser vide s'il n'y a pas de vol ce jour-la." errorStyle="stop" errorTitle="Type avion invalide" operator="between" showDropDown="false" showErrorMessage="false" showInputMessage="false" sqref="D46:J125" type="list">
      <formula1>$Y$4:$Y$6</formula1>
      <formula2>0</formula2>
    </dataValidation>
    <dataValidation allowBlank="true" errorStyle="stop" operator="between" showDropDown="false" showErrorMessage="false" showInputMessage="false" sqref="C133:C172" type="list">
      <formula1>$Z$4:$Z$15</formula1>
      <formula2>0</formula2>
    </dataValidation>
    <dataValidation allowBlank="true" errorStyle="stop" operator="between" showDropDown="false" showErrorMessage="false" showInputMessage="false" sqref="D133:D172" type="list">
      <formula1>$Y$4:$Y$6</formula1>
      <formula2>0</formula2>
    </dataValidation>
    <dataValidation allowBlank="true" error="Nombre de rotations : entier entre 1 et 20." errorStyle="stop" errorTitle="Valeur invalide" operator="between" showDropDown="false" showErrorMessage="false" showInputMessage="false" sqref="E133:E172" type="whole">
      <formula1>1</formula1>
      <formula2>20</formula2>
    </dataValidation>
    <dataValidation allowBlank="true" error="Date hors de l'annee avril 2027 - mars 2028 : le vol ne sera visible dans aucun mois." errorStyle="warning" errorTitle="Date hors annee d'exploitation" operator="between" showDropDown="false" showErrorMessage="false" showInputMessage="false" sqref="B133:B172" type="date">
      <formula1>DATE(2027,4,1)</formula1>
      <formula2>DATE(2028,3,31)</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2026-09-08T12:44:56Z</dcterms:created>
  <dc:creator>openpyxl</dc:creator>
  <dc:description/>
  <dc:language>en-US</dc:language>
  <cp:lastModifiedBy/>
  <dcterms:modified xsi:type="dcterms:W3CDTF">2026-09-08T12:44:56Z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